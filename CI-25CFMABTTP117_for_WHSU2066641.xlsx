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USER-CFMOTO\Downloads\"/>
    </mc:Choice>
  </mc:AlternateContent>
  <xr:revisionPtr revIDLastSave="0" documentId="13_ncr:1_{DEFDFA26-53DE-4CE4-92C5-6E3D7AC28E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sheet1!$A$18:$I$18</definedName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D29" i="1"/>
  <c r="F28" i="1"/>
  <c r="F27" i="1"/>
  <c r="F26" i="1"/>
  <c r="F25" i="1"/>
  <c r="F24" i="1"/>
  <c r="F23" i="1"/>
  <c r="F22" i="1"/>
  <c r="F21" i="1"/>
  <c r="F20" i="1"/>
  <c r="F19" i="1"/>
</calcChain>
</file>

<file path=xl/sharedStrings.xml><?xml version="1.0" encoding="utf-8"?>
<sst xmlns="http://schemas.openxmlformats.org/spreadsheetml/2006/main" count="54" uniqueCount="46">
  <si>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</si>
  <si>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</si>
  <si>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</si>
  <si>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</si>
  <si>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COMMERCIAL INVOICE</t>
  </si>
  <si>
    <t>CFMOTO MEXICO POWER, S. DE R.L. DE C.V. 
CALLE TECNOLOGIA NO. 107, COL. VYNMSA APODACA INDUSTRIAL PARK, APODACA, NUEVO LEÓN C.P. 66628 Mexico
Contact: Raúl Sergio Medina
raul.medina@cfmoto.com,
luis.rocha@cfmoto.com,
export10@cfmoto.com,
zhoucy@cfmoto.com
RFC: CMP220712ND9</t>
  </si>
  <si>
    <t>PROVEEDOR：ZHEJIANG CFMOTO POWER CO., LTD
 DIRECCIÓN：WUZHOU ROAD, YUHANG ECONOMIC 
 DEVELOPMENT ZONE No.EXT. 116 C.P. 311100 
 HANGZHOU ZHEJIANG, CHINA (REPUBLICA POPULAR)
 TAX ID ：91330100757206158J</t>
  </si>
  <si>
    <t>PAYMENT：T/T</t>
  </si>
  <si>
    <t>DATE :Jan-23rd ,2026</t>
  </si>
  <si>
    <t>SHIPPED FROM : NINGBO, CHINA</t>
  </si>
  <si>
    <t>TO MANZANILLO , MEXICO</t>
  </si>
  <si>
    <t>Tel: +52 81 1602 5579</t>
  </si>
  <si>
    <t>SHIPPED PER : BY SEA</t>
  </si>
  <si>
    <t>ITEM</t>
  </si>
  <si>
    <t>PART NO.</t>
  </si>
  <si>
    <t>ENGLISH NAME</t>
  </si>
  <si>
    <t>QTY</t>
  </si>
  <si>
    <t>U-M</t>
  </si>
  <si>
    <t>PRICE(USD)</t>
  </si>
  <si>
    <t>AMOUNT(USD)</t>
  </si>
  <si>
    <t>REMARKS</t>
  </si>
  <si>
    <t>0NYM-B1A100-0800-M1</t>
  </si>
  <si>
    <t>380Y-3_CF1000UU-8_EPA49/HVAC_ENGINE</t>
  </si>
  <si>
    <t>PC</t>
  </si>
  <si>
    <t>900010-0284</t>
  </si>
  <si>
    <t>white tape</t>
  </si>
  <si>
    <t>PCS</t>
  </si>
  <si>
    <t>900010-0286</t>
  </si>
  <si>
    <t>Warning tape_4.8 all red</t>
  </si>
  <si>
    <t>940010-09259</t>
  </si>
  <si>
    <t>Pneumatic Paint Mixing Shaker</t>
  </si>
  <si>
    <t>960010-00575</t>
  </si>
  <si>
    <t>Dust-free wipes 12.5CMX38CM_500 sheets/roll</t>
  </si>
  <si>
    <t>TBQ002</t>
  </si>
  <si>
    <t>PLASTIC BAG</t>
  </si>
  <si>
    <t>TBQ003</t>
  </si>
  <si>
    <t>TRANSPORT BAG</t>
  </si>
  <si>
    <t>TBQ229</t>
  </si>
  <si>
    <t>Large plastic bag 230*340*0.04 self-sealing nylon bag</t>
  </si>
  <si>
    <t>TFW008</t>
  </si>
  <si>
    <t>Coil Welding Wire</t>
  </si>
  <si>
    <t>TFW009</t>
  </si>
  <si>
    <t>welding wire</t>
  </si>
  <si>
    <t>INCOTERM:CIF MANZANILLO</t>
  </si>
  <si>
    <t>SAY TOTAL US DOLLAR  FORTY-FOUR THOUSAND SIX HUNDRED AND ELEVEN AND  FIVE  CENTS ONLY.</t>
  </si>
  <si>
    <t>INVOICE NO:  25CFMABTTP117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</si>
</sst>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\$#,##0.00;\(\$#,##0.00\)"/>
    <numFmt numFmtId="169" formatCode="\$#,##0.00;\-\$#,##0.00"/>
  </numFmts>
  <fonts count="18">
    <font>
      <sz val="11"/>
      <color indexed="8"/>
      <name val="Calibri"/>
      <charset val="1"/>
      <scheme val="minor"/>
    </font>
    <font>
      <b/>
      <sz val="17"/>
      <color rgb="FF000000"/>
      <name val="Calibri"/>
      <charset val="134"/>
    </font>
    <font>
      <b/>
      <sz val="12"/>
      <color rgb="FF000000"/>
      <name val="Calibri"/>
      <charset val="134"/>
    </font>
    <font>
      <sz val="9"/>
      <color rgb="FF000000"/>
      <name val="SimHei"/>
      <charset val="134"/>
    </font>
    <font>
      <b/>
      <u/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1"/>
      <color indexed="8"/>
      <name val="Calibri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9"/>
      <color rgb="FF000000"/>
      <name val="SimSu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13980C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5" fillId="0" borderId="0"/>
    <xf numFmtId="0" fontId="15" fillId="0" borderId="0"/>
    <xf numFmtId="0" fontId="16" fillId="0" borderId="0">
      <alignment vertical="center"/>
    </xf>
    <xf numFmtId="0" fontId="17" fillId="2" borderId="0">
      <alignment horizontal="left" vertical="center"/>
    </xf>
  </cellStyleXfs>
  <cellXfs count="33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8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69" fontId="8" fillId="0" borderId="1" xfId="0" applyNumberFormat="1" applyFont="1" applyFill="1" applyBorder="1" applyAlignment="1">
      <alignment horizontal="center" vertical="center" wrapText="1"/>
    </xf>
    <xf numFmtId="16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169" fontId="6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4" fillId="0" borderId="0" xfId="0" applyFont="1" applyAlignment="1">
      <alignment vertical="center" wrapText="1"/>
    </xf>
  </cellXfs>
  <cellStyles count="5">
    <cellStyle name="Normal" xfId="0" builtinId="0"/>
    <cellStyle name="Normal 5" xfId="1" xr:uid="{00000000-0005-0000-0000-000031000000}"/>
    <cellStyle name="S46" xfId="4" xr:uid="{00000000-0005-0000-0000-000034000000}"/>
    <cellStyle name="常规 2" xfId="2" xr:uid="{00000000-0005-0000-0000-000032000000}"/>
    <cellStyle name="常规 3" xfId="3" xr:uid="{00000000-0005-0000-0000-000033000000}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mruColors>
      <color rgb="FFFFC000"/>
      <color rgb="FFFFFF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0</xdr:col>
      <xdr:colOff>1738630</xdr:colOff>
      <xdr:row>2</xdr:row>
      <xdr:rowOff>47625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04775"/>
          <a:ext cx="1652905" cy="440690"/>
        </a:xfrm>
        <a:prstGeom prst="rect">
          <a:avLst/>
        </a:prstGeom>
      </xdr:spPr>
    </xdr:pic>
    <xdr:clientData/>
  </xdr:twoCellAnchor>
  <xdr:twoCellAnchor editAs="oneCell">
    <xdr:from>
      <xdr:col>3</xdr:col>
      <xdr:colOff>512445</xdr:colOff>
      <xdr:row>34</xdr:row>
      <xdr:rowOff>34925</xdr:rowOff>
    </xdr:from>
    <xdr:to>
      <xdr:col>6</xdr:col>
      <xdr:colOff>413385</xdr:colOff>
      <xdr:row>45</xdr:row>
      <xdr:rowOff>11430</xdr:rowOff>
    </xdr:to>
    <xdr:pic>
      <xdr:nvPicPr>
        <xdr:cNvPr id="4" name="图片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8000" y="7221220"/>
          <a:ext cx="3775710" cy="1967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view="pageBreakPreview" zoomScale="85" zoomScaleNormal="100" workbookViewId="0">
      <selection activeCell="G4" sqref="G4"/>
    </sheetView>
  </sheetViews>
  <sheetFormatPr baseColWidth="10" defaultColWidth="10" defaultRowHeight="15"/>
  <cols>
    <col min="1" max="1" width="31.7109375" customWidth="1"/>
    <col min="2" max="2" width="35.140625" customWidth="1"/>
    <col min="3" max="3" width="49.7109375" style="1" customWidth="1"/>
    <col min="4" max="4" width="29.28515625" customWidth="1"/>
    <col min="5" max="5" width="8" customWidth="1"/>
    <col min="6" max="6" width="13.5703125" customWidth="1"/>
    <col min="7" max="7" width="11.85546875" customWidth="1"/>
    <col min="8" max="8" width="19.140625" customWidth="1"/>
    <col min="9" max="9" width="20.140625" customWidth="1"/>
  </cols>
  <sheetData>
    <row r="1" spans="1:6" ht="23.45" customHeight="1">
      <c r="A1" s="21" t="s">
        <v>0</v>
      </c>
      <c r="B1" s="21"/>
      <c r="C1" s="22"/>
      <c r="D1" s="21"/>
      <c r="E1" s="21"/>
      <c r="F1" s="21"/>
    </row>
    <row r="2" spans="1:6" ht="15.75" customHeight="1">
      <c r="A2" s="23" t="s">
        <v>1</v>
      </c>
      <c r="B2" s="23"/>
      <c r="C2" s="24"/>
      <c r="D2" s="23"/>
      <c r="E2" s="23"/>
      <c r="F2" s="23"/>
    </row>
    <row r="3" spans="1:6" ht="15.75" customHeight="1">
      <c r="A3" s="23" t="s">
        <v>2</v>
      </c>
      <c r="B3" s="23"/>
      <c r="C3" s="24"/>
      <c r="D3" s="23"/>
      <c r="E3" s="23"/>
      <c r="F3" s="23"/>
    </row>
    <row r="4" spans="1:6" ht="15.75" customHeight="1">
      <c r="A4" s="23" t="s">
        <v>3</v>
      </c>
      <c r="B4" s="23"/>
      <c r="C4" s="24"/>
      <c r="D4" s="23"/>
      <c r="E4" s="23"/>
      <c r="F4" s="23"/>
    </row>
    <row r="5" spans="1:6" ht="15.75" customHeight="1">
      <c r="A5" s="2"/>
    </row>
    <row r="6" spans="1:6" ht="18.75" customHeight="1">
      <c r="A6" s="25" t="s">
        <v>4</v>
      </c>
      <c r="B6" s="25"/>
      <c r="C6" s="26"/>
      <c r="D6" s="25"/>
      <c r="E6" s="25"/>
      <c r="F6" s="25"/>
    </row>
    <row r="7" spans="1:6" ht="17.25" customHeight="1"/>
    <row r="8" spans="1:6" ht="17.25" customHeight="1">
      <c r="A8" s="31" t="s">
        <v>5</v>
      </c>
      <c r="B8" s="31"/>
      <c r="C8" s="30" t="s">
        <v>6</v>
      </c>
      <c r="D8" s="27" t="s">
        <v>45</v>
      </c>
      <c r="E8" s="27"/>
      <c r="F8" s="27"/>
    </row>
    <row r="9" spans="1:6" ht="15" customHeight="1">
      <c r="A9" s="31"/>
      <c r="B9" s="31"/>
      <c r="C9" s="30"/>
      <c r="D9" s="3" t="s">
        <v>7</v>
      </c>
    </row>
    <row r="10" spans="1:6" ht="15" customHeight="1">
      <c r="A10" s="31"/>
      <c r="B10" s="31"/>
      <c r="C10" s="30"/>
      <c r="D10" s="3" t="s">
        <v>8</v>
      </c>
    </row>
    <row r="11" spans="1:6" ht="15" customHeight="1">
      <c r="A11" s="31"/>
      <c r="B11" s="31"/>
      <c r="C11" s="30"/>
      <c r="D11" s="3" t="s">
        <v>9</v>
      </c>
    </row>
    <row r="12" spans="1:6" ht="15" customHeight="1">
      <c r="A12" s="31"/>
      <c r="B12" s="31"/>
      <c r="C12" s="30"/>
      <c r="D12" s="3" t="s">
        <v>10</v>
      </c>
    </row>
    <row r="13" spans="1:6" ht="15" customHeight="1">
      <c r="A13" s="31"/>
      <c r="B13" s="31"/>
      <c r="C13" s="30"/>
    </row>
    <row r="14" spans="1:6" ht="15" customHeight="1">
      <c r="A14" s="31"/>
      <c r="B14" s="31"/>
      <c r="C14" s="30"/>
    </row>
    <row r="15" spans="1:6" ht="14.25" customHeight="1">
      <c r="A15" s="27" t="s">
        <v>11</v>
      </c>
      <c r="B15" s="27"/>
    </row>
    <row r="16" spans="1:6" ht="15" customHeight="1">
      <c r="A16" s="3" t="s">
        <v>12</v>
      </c>
    </row>
    <row r="17" spans="1:9" ht="2.1" customHeight="1">
      <c r="A17" s="2"/>
    </row>
    <row r="18" spans="1:9" ht="30.95" customHeight="1">
      <c r="A18" s="4" t="s">
        <v>13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6" t="s">
        <v>19</v>
      </c>
      <c r="H18" s="4" t="s">
        <v>20</v>
      </c>
      <c r="I18" s="7"/>
    </row>
    <row r="19" spans="1:9" ht="16.5">
      <c r="A19" s="8">
        <v>1</v>
      </c>
      <c r="B19" s="9" t="s">
        <v>21</v>
      </c>
      <c r="C19" s="9" t="s">
        <v>22</v>
      </c>
      <c r="D19" s="9">
        <v>1</v>
      </c>
      <c r="E19" s="10" t="s">
        <v>23</v>
      </c>
      <c r="F19" s="11">
        <f>G19/D19</f>
        <v>1713.39</v>
      </c>
      <c r="G19" s="12">
        <v>1713.39</v>
      </c>
      <c r="H19" s="8"/>
      <c r="I19" s="7"/>
    </row>
    <row r="20" spans="1:9" ht="16.5">
      <c r="A20" s="8">
        <v>2</v>
      </c>
      <c r="B20" s="9" t="s">
        <v>24</v>
      </c>
      <c r="C20" s="9" t="s">
        <v>25</v>
      </c>
      <c r="D20" s="9">
        <v>100</v>
      </c>
      <c r="E20" s="10" t="s">
        <v>26</v>
      </c>
      <c r="F20" s="11">
        <f t="shared" ref="F20:F28" si="0">G20/D20</f>
        <v>0.55000000000000004</v>
      </c>
      <c r="G20" s="12">
        <v>55</v>
      </c>
      <c r="H20" s="13"/>
      <c r="I20" s="1"/>
    </row>
    <row r="21" spans="1:9" ht="16.5">
      <c r="A21" s="8">
        <v>3</v>
      </c>
      <c r="B21" s="9" t="s">
        <v>27</v>
      </c>
      <c r="C21" s="9" t="s">
        <v>28</v>
      </c>
      <c r="D21" s="9">
        <v>500</v>
      </c>
      <c r="E21" s="10" t="s">
        <v>26</v>
      </c>
      <c r="F21" s="11">
        <f t="shared" si="0"/>
        <v>0.55000000000000004</v>
      </c>
      <c r="G21" s="12">
        <v>275</v>
      </c>
      <c r="H21" s="13"/>
      <c r="I21" s="1"/>
    </row>
    <row r="22" spans="1:9" ht="16.5">
      <c r="A22" s="8">
        <v>4</v>
      </c>
      <c r="B22" s="9" t="s">
        <v>29</v>
      </c>
      <c r="C22" s="9" t="s">
        <v>30</v>
      </c>
      <c r="D22" s="9">
        <v>2</v>
      </c>
      <c r="E22" s="10" t="s">
        <v>26</v>
      </c>
      <c r="F22" s="11">
        <f t="shared" si="0"/>
        <v>768.09</v>
      </c>
      <c r="G22" s="12">
        <v>1536.18</v>
      </c>
      <c r="H22" s="13"/>
      <c r="I22" s="1"/>
    </row>
    <row r="23" spans="1:9" ht="33">
      <c r="A23" s="8">
        <v>5</v>
      </c>
      <c r="B23" s="9" t="s">
        <v>31</v>
      </c>
      <c r="C23" s="9" t="s">
        <v>32</v>
      </c>
      <c r="D23" s="9">
        <v>68</v>
      </c>
      <c r="E23" s="10" t="s">
        <v>26</v>
      </c>
      <c r="F23" s="11">
        <f t="shared" si="0"/>
        <v>6.75</v>
      </c>
      <c r="G23" s="12">
        <v>459</v>
      </c>
      <c r="H23" s="13"/>
      <c r="I23" s="1"/>
    </row>
    <row r="24" spans="1:9" ht="16.5">
      <c r="A24" s="8">
        <v>6</v>
      </c>
      <c r="B24" s="9" t="s">
        <v>33</v>
      </c>
      <c r="C24" s="9" t="s">
        <v>34</v>
      </c>
      <c r="D24" s="9">
        <v>205920</v>
      </c>
      <c r="E24" s="10" t="s">
        <v>26</v>
      </c>
      <c r="F24" s="11">
        <f t="shared" si="0"/>
        <v>0.01</v>
      </c>
      <c r="G24" s="12">
        <v>2059.1999999999998</v>
      </c>
      <c r="H24" s="13"/>
      <c r="I24" s="1"/>
    </row>
    <row r="25" spans="1:9" ht="16.5">
      <c r="A25" s="8">
        <v>7</v>
      </c>
      <c r="B25" s="9" t="s">
        <v>35</v>
      </c>
      <c r="C25" s="9" t="s">
        <v>36</v>
      </c>
      <c r="D25" s="9">
        <v>41184</v>
      </c>
      <c r="E25" s="10" t="s">
        <v>26</v>
      </c>
      <c r="F25" s="11">
        <f t="shared" si="0"/>
        <v>0.01</v>
      </c>
      <c r="G25" s="12">
        <v>411.84</v>
      </c>
      <c r="H25" s="13"/>
      <c r="I25" s="1"/>
    </row>
    <row r="26" spans="1:9" ht="33">
      <c r="A26" s="8">
        <v>8</v>
      </c>
      <c r="B26" s="9" t="s">
        <v>37</v>
      </c>
      <c r="C26" s="9" t="s">
        <v>38</v>
      </c>
      <c r="D26" s="9">
        <v>41184</v>
      </c>
      <c r="E26" s="10" t="s">
        <v>26</v>
      </c>
      <c r="F26" s="11">
        <f t="shared" si="0"/>
        <v>0.01</v>
      </c>
      <c r="G26" s="12">
        <v>411.84</v>
      </c>
      <c r="H26" s="13"/>
      <c r="I26" s="1"/>
    </row>
    <row r="27" spans="1:9" ht="16.5">
      <c r="A27" s="8">
        <v>9</v>
      </c>
      <c r="B27" s="9" t="s">
        <v>39</v>
      </c>
      <c r="C27" s="9" t="s">
        <v>40</v>
      </c>
      <c r="D27" s="9">
        <v>26880</v>
      </c>
      <c r="E27" s="10" t="s">
        <v>26</v>
      </c>
      <c r="F27" s="11">
        <f t="shared" si="0"/>
        <v>0.92</v>
      </c>
      <c r="G27" s="12">
        <v>24729.599999999999</v>
      </c>
      <c r="H27" s="13"/>
      <c r="I27" s="1"/>
    </row>
    <row r="28" spans="1:9" ht="16.5">
      <c r="A28" s="8">
        <v>10</v>
      </c>
      <c r="B28" s="9" t="s">
        <v>41</v>
      </c>
      <c r="C28" s="9" t="s">
        <v>42</v>
      </c>
      <c r="D28" s="9">
        <v>14400</v>
      </c>
      <c r="E28" s="10" t="s">
        <v>26</v>
      </c>
      <c r="F28" s="11">
        <f t="shared" si="0"/>
        <v>0.9</v>
      </c>
      <c r="G28" s="12">
        <v>12960</v>
      </c>
      <c r="H28" s="13"/>
      <c r="I28" s="1"/>
    </row>
    <row r="29" spans="1:9" ht="18.75" customHeight="1">
      <c r="A29" s="14" t="s">
        <v>43</v>
      </c>
      <c r="B29" s="10"/>
      <c r="C29" s="15"/>
      <c r="D29" s="5">
        <f>SUM(D19:D28)</f>
        <v>330239</v>
      </c>
      <c r="E29" s="5"/>
      <c r="F29" s="16"/>
      <c r="G29" s="16">
        <f>SUM(G19:G28)</f>
        <v>44611.05</v>
      </c>
      <c r="H29" s="13"/>
      <c r="I29" s="1"/>
    </row>
    <row r="30" spans="1:9" ht="33.200000000000003" customHeight="1">
      <c r="A30" s="28" t="s">
        <v>44</v>
      </c>
      <c r="B30" s="29"/>
      <c r="C30" s="29"/>
      <c r="D30" s="17"/>
      <c r="E30" s="10"/>
      <c r="F30" s="18"/>
      <c r="G30" s="19"/>
      <c r="H30" s="20"/>
      <c r="I30" s="1"/>
    </row>
    <row r="31" spans="1:9" ht="14.25" customHeight="1"/>
    <row r="32" spans="1:9" ht="14.25" customHeight="1"/>
    <row r="33" spans="4:6" ht="14.25" customHeight="1">
      <c r="D33" s="32"/>
      <c r="E33" s="32"/>
      <c r="F33" s="32"/>
    </row>
    <row r="34" spans="4:6" ht="14.25" customHeight="1">
      <c r="D34" s="32"/>
      <c r="E34" s="32"/>
      <c r="F34" s="32"/>
    </row>
    <row r="35" spans="4:6" ht="14.25" customHeight="1">
      <c r="D35" s="32"/>
      <c r="E35" s="32"/>
      <c r="F35" s="32"/>
    </row>
    <row r="36" spans="4:6" ht="14.25" customHeight="1">
      <c r="D36" s="32"/>
      <c r="E36" s="32"/>
      <c r="F36" s="32"/>
    </row>
    <row r="37" spans="4:6" ht="14.25" customHeight="1">
      <c r="D37" s="32"/>
      <c r="E37" s="32"/>
      <c r="F37" s="32"/>
    </row>
    <row r="38" spans="4:6" ht="14.25" customHeight="1">
      <c r="D38" s="32"/>
      <c r="E38" s="32"/>
      <c r="F38" s="32"/>
    </row>
    <row r="39" spans="4:6" ht="14.25" customHeight="1">
      <c r="D39" s="32"/>
      <c r="E39" s="32"/>
      <c r="F39" s="32"/>
    </row>
    <row r="40" spans="4:6" ht="14.25" customHeight="1">
      <c r="D40" s="32"/>
      <c r="E40" s="32"/>
      <c r="F40" s="32"/>
    </row>
    <row r="41" spans="4:6" ht="14.25" customHeight="1">
      <c r="D41" s="32"/>
      <c r="E41" s="32"/>
      <c r="F41" s="32"/>
    </row>
    <row r="42" spans="4:6" ht="14.25" customHeight="1">
      <c r="D42" s="32"/>
      <c r="E42" s="32"/>
      <c r="F42" s="32"/>
    </row>
    <row r="43" spans="4:6" ht="14.25" customHeight="1">
      <c r="D43" s="32"/>
      <c r="E43" s="32"/>
      <c r="F43" s="32"/>
    </row>
    <row r="44" spans="4:6" ht="14.25" customHeight="1">
      <c r="D44" s="32"/>
      <c r="E44" s="32"/>
      <c r="F44" s="32"/>
    </row>
    <row r="45" spans="4:6" ht="14.25" customHeight="1">
      <c r="D45" s="32"/>
      <c r="E45" s="32"/>
      <c r="F45" s="32"/>
    </row>
    <row r="46" spans="4:6" ht="14.25" customHeight="1">
      <c r="D46" s="32"/>
      <c r="E46" s="32"/>
      <c r="F46" s="32"/>
    </row>
    <row r="47" spans="4:6" ht="14.25" customHeight="1">
      <c r="D47" s="32"/>
      <c r="E47" s="32"/>
      <c r="F47" s="32"/>
    </row>
    <row r="48" spans="4:6" ht="14.25" customHeight="1">
      <c r="D48" s="32"/>
      <c r="E48" s="32"/>
      <c r="F48" s="32"/>
    </row>
    <row r="49" spans="4:6" ht="14.25" customHeight="1">
      <c r="D49" s="32"/>
      <c r="E49" s="32"/>
      <c r="F49" s="32"/>
    </row>
    <row r="50" spans="4:6" ht="14.25" customHeight="1">
      <c r="D50" s="32"/>
      <c r="E50" s="32"/>
      <c r="F50" s="32"/>
    </row>
    <row r="51" spans="4:6" ht="14.25" customHeight="1">
      <c r="D51" s="32"/>
      <c r="E51" s="32"/>
      <c r="F51" s="32"/>
    </row>
  </sheetData>
  <mergeCells count="11">
    <mergeCell ref="D33:F51"/>
    <mergeCell ref="D8:F8"/>
    <mergeCell ref="A15:B15"/>
    <mergeCell ref="A30:C30"/>
    <mergeCell ref="C8:C14"/>
    <mergeCell ref="A8:B14"/>
    <mergeCell ref="A1:F1"/>
    <mergeCell ref="A2:F2"/>
    <mergeCell ref="A3:F3"/>
    <mergeCell ref="A4:F4"/>
    <mergeCell ref="A6:F6"/>
  </mergeCells>
  <conditionalFormatting sqref="B19:B28">
    <cfRule type="duplicateValues" dxfId="0" priority="1"/>
  </conditionalFormatting>
  <pageMargins left="0" right="0" top="0" bottom="0" header="0" footer="0"/>
  <pageSetup paperSize="9"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USER-CFMOTO</cp:lastModifiedBy>
  <dcterms:created xsi:type="dcterms:W3CDTF">2024-10-22T02:58:00Z</dcterms:created>
  <dcterms:modified xsi:type="dcterms:W3CDTF">2026-02-05T23:41:41Z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9ACD1A3DDDB747258EF787B925106E60_12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