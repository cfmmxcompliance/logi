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C97DD65F-B3CB-F840-8B17-A5308C0B8FFC}" xr6:coauthVersionLast="47" xr6:coauthVersionMax="47" xr10:uidLastSave="{00000000-0000-0000-0000-000000000000}"/>
  <bookViews>
    <workbookView xWindow="0" yWindow="76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sheet1!$A$18:$N$70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N19" i="1"/>
  <c r="K19" i="1"/>
  <c r="M69" i="1"/>
  <c r="I69" i="1"/>
</calcChain>
</file>

<file path=xl/sharedStrings.xml><?xml version="1.0" encoding="utf-8"?>
<sst xmlns="http://schemas.openxmlformats.org/spreadsheetml/2006/main" count="356" uniqueCount="195">
  <si>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</si>
  <si>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</si>
  <si>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</si>
  <si>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</si>
  <si>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</si>
  <si>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</si>
  <si>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</si>
  <si>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INVOICE NO : 25CFTT176694</t>
  </si>
  <si>
    <t>PAYMENT：T/T</t>
  </si>
  <si>
    <t>DATE : Nov-26th,2025</t>
  </si>
  <si>
    <t>SHIPPED FROM : NINGBO, CHINA</t>
  </si>
  <si>
    <t>TO MANZANILLO , MEXICO</t>
  </si>
  <si>
    <t>TEL:+52 8119640554</t>
  </si>
  <si>
    <t>SHIPPED PER : BY SEA</t>
  </si>
  <si>
    <t>ITEM</t>
  </si>
  <si>
    <t>MODEL</t>
  </si>
  <si>
    <t>PART NO.</t>
  </si>
  <si>
    <t>ENGLISH NAME</t>
  </si>
  <si>
    <t>DESCRIPCION(ES)</t>
  </si>
  <si>
    <t>HTS</t>
  </si>
  <si>
    <t>PROSEC</t>
  </si>
  <si>
    <t>R8</t>
  </si>
  <si>
    <t>QTY</t>
  </si>
  <si>
    <t>U-M</t>
  </si>
  <si>
    <t>NETWEIGHT</t>
  </si>
  <si>
    <t>PRICE(USD)</t>
  </si>
  <si>
    <t>AMOUNT(USD)</t>
  </si>
  <si>
    <t>REGIMEN</t>
  </si>
  <si>
    <t>CM1000SZ-3</t>
  </si>
  <si>
    <t>5BWV-021100-5000</t>
  </si>
  <si>
    <t>FRONT EXHAUST PIPE ASSY</t>
  </si>
  <si>
    <t>TUBO DE ESCAPE DELANTERO</t>
  </si>
  <si>
    <t>8708920399</t>
  </si>
  <si>
    <t>PZA</t>
  </si>
  <si>
    <t>5BWV-030070-5000</t>
  </si>
  <si>
    <t>REAR BEAM PIPE ASSY</t>
  </si>
  <si>
    <t>TUBO DE VIGA TRASERO</t>
  </si>
  <si>
    <t>8708299908</t>
  </si>
  <si>
    <t xml:space="preserve">Ex. </t>
  </si>
  <si>
    <t>5BWV-031000-5902-01-0BP00</t>
  </si>
  <si>
    <t>FRAME ASSY</t>
  </si>
  <si>
    <t>CHASIS</t>
  </si>
  <si>
    <t>8708990700</t>
  </si>
  <si>
    <t>Ex.</t>
  </si>
  <si>
    <t>5BWV-041012-5000</t>
  </si>
  <si>
    <t>MIDDLE NET</t>
  </si>
  <si>
    <t>PARTE PARA CARROCERIA</t>
  </si>
  <si>
    <t>3926300201</t>
  </si>
  <si>
    <t>5BWV-041021-5000</t>
  </si>
  <si>
    <t>HEADLIGHT PANEL</t>
  </si>
  <si>
    <t>TORNILLO DE ACERO DE USO AUTOMOTRIZ</t>
  </si>
  <si>
    <t>7318159903</t>
  </si>
  <si>
    <t>1931R825050575</t>
  </si>
  <si>
    <t>5BWV-041031-5001</t>
  </si>
  <si>
    <t>FRONT INNER LOCK PANEL</t>
  </si>
  <si>
    <t>5BWV-041041-5000-0BM00</t>
  </si>
  <si>
    <t>FRONT TOP COVER</t>
  </si>
  <si>
    <t>8708299999</t>
  </si>
  <si>
    <t>5BWV-041041-5000-0RM00</t>
  </si>
  <si>
    <t>CUBIERTA DE SERVICIO FRONTAL</t>
  </si>
  <si>
    <t>5BWV-041051-5001</t>
  </si>
  <si>
    <t>FRONT LH DECO PLATE</t>
  </si>
  <si>
    <t>5BWV-041052-5001</t>
  </si>
  <si>
    <t>FRONT RH DECO PLATE</t>
  </si>
  <si>
    <t>5BWV-041061-5000</t>
  </si>
  <si>
    <t>LH FRONT WIDENED FENDER</t>
  </si>
  <si>
    <t>GUARDAFANGOS DELANTERO</t>
  </si>
  <si>
    <t>8708290100</t>
  </si>
  <si>
    <t>5BWV-041062-5000</t>
  </si>
  <si>
    <t>FRONT RH EXTENDED FENDER</t>
  </si>
  <si>
    <t>5BWV-042023-5001</t>
  </si>
  <si>
    <t>LH SIDE PANEL</t>
  </si>
  <si>
    <t>GUARNICION PARA CARROCERIA DE PLASTICO</t>
  </si>
  <si>
    <t>3926300299</t>
  </si>
  <si>
    <t>5BWV-042024-5001</t>
  </si>
  <si>
    <t>RH SIDE PANEL</t>
  </si>
  <si>
    <t>PANEL LATERAL</t>
  </si>
  <si>
    <t>8708299902</t>
  </si>
  <si>
    <t>5BWV-042043-5000</t>
  </si>
  <si>
    <t>MIDDLE COVER</t>
  </si>
  <si>
    <t>CUBIERTA INTERMEDIA</t>
  </si>
  <si>
    <t>5BWV-042052-5001</t>
  </si>
  <si>
    <t>SEAT REAR FENDER</t>
  </si>
  <si>
    <t>5BWV-042061-5000</t>
  </si>
  <si>
    <t>FRONT SKID PLATE</t>
  </si>
  <si>
    <t>5BWV-042062-5000</t>
  </si>
  <si>
    <t>MIDDLE SKID PLATE, SMALL</t>
  </si>
  <si>
    <t>PLACA PROTECTORA</t>
  </si>
  <si>
    <t>5BWV-042063-5001</t>
  </si>
  <si>
    <t>MIDDLE SKID PLATE, BIG</t>
  </si>
  <si>
    <t>5BWV-042065-5000</t>
  </si>
  <si>
    <t>REAR SKID PLATE</t>
  </si>
  <si>
    <t>5BWV-043011-5001</t>
  </si>
  <si>
    <t>UPPER BODY, DASHBOARD</t>
  </si>
  <si>
    <t>5BWV-043031-5001</t>
  </si>
  <si>
    <t>DASHBOARD, LOWER</t>
  </si>
  <si>
    <t>5BWV-043041-5002</t>
  </si>
  <si>
    <t>FRONT FENDER</t>
  </si>
  <si>
    <t>5BWV-043051-5000</t>
  </si>
  <si>
    <t>PEDAL</t>
  </si>
  <si>
    <t>5BWV-043056-5001</t>
  </si>
  <si>
    <t>FUEL TANK GUARD</t>
  </si>
  <si>
    <t>PROTECTOR PARA TANQUE DE COMBUSTIBLE</t>
  </si>
  <si>
    <t>5BWV-060210-5000A</t>
  </si>
  <si>
    <t>REAR LH LOWER SWING ARM ASSY</t>
  </si>
  <si>
    <t>BRAZO OSCILANTE PARA SUSPENSION TRASERA</t>
  </si>
  <si>
    <t>8708800500</t>
  </si>
  <si>
    <t>5BWV-060410-5000A</t>
  </si>
  <si>
    <t>REAR RH LOWER SWING ARM ASSY</t>
  </si>
  <si>
    <t>5BWV-07Z0AA-1100</t>
  </si>
  <si>
    <t>FRONT WHEEL ASSY</t>
  </si>
  <si>
    <t>5BWV-081000-5300</t>
  </si>
  <si>
    <t>HYDRAULIC BRAKE ASSY</t>
  </si>
  <si>
    <t>FRENO HIDRAULICO</t>
  </si>
  <si>
    <t>8708309999</t>
  </si>
  <si>
    <t>5BWV-104200-5000</t>
  </si>
  <si>
    <t>RH STEERING ROD ASSY</t>
  </si>
  <si>
    <t>BARRA DE DIRECCION DERECHA</t>
  </si>
  <si>
    <t>8708941206</t>
  </si>
  <si>
    <t>5BWV-11Z0AA-1100</t>
  </si>
  <si>
    <t>REAR WHEEL ASSY</t>
  </si>
  <si>
    <t>5BWV-120100-5000A</t>
  </si>
  <si>
    <t>PLASTIC FUEL TANK ASSY</t>
  </si>
  <si>
    <t>TANQUE DE COMBUSTIBLE</t>
  </si>
  <si>
    <t>8708990400</t>
  </si>
  <si>
    <t>5BWV-132000-1700-0F500</t>
  </si>
  <si>
    <t>PASSENGER SEAT ASSY</t>
  </si>
  <si>
    <t>ASIENTO DEL CONDUCTOR</t>
  </si>
  <si>
    <t>9401200100</t>
  </si>
  <si>
    <t>5BWV-150820-5101</t>
  </si>
  <si>
    <t>EPS MOTOR</t>
  </si>
  <si>
    <t>MODULO CONTROLADOR DE DIRECCION</t>
  </si>
  <si>
    <t>9032899900</t>
  </si>
  <si>
    <t>5BWV-223011-5000</t>
  </si>
  <si>
    <t>PLASTIC REAR CARGO BOX</t>
  </si>
  <si>
    <t>CAJA DE CARGA TRASERA DE PLASTICO</t>
  </si>
  <si>
    <t>8708999999</t>
  </si>
  <si>
    <t>5BWV-223021-5000</t>
  </si>
  <si>
    <t>LH SIDE PLATE, CARGO BOX</t>
  </si>
  <si>
    <t>PLACA LATERAL IZQUIERDA</t>
  </si>
  <si>
    <t>5BWV-223022-5000</t>
  </si>
  <si>
    <t>RH SIDE PLATE, CARGO BOX</t>
  </si>
  <si>
    <t>PANEL DE PUERTA TRASERA</t>
  </si>
  <si>
    <t>8708290400</t>
  </si>
  <si>
    <t>5BWV-223031-5000</t>
  </si>
  <si>
    <t>TAIL LIGHT PANEL</t>
  </si>
  <si>
    <t>PANEL DE LUCES TRASERAS</t>
  </si>
  <si>
    <t>8512200200</t>
  </si>
  <si>
    <t>5BWV-260211-5001</t>
  </si>
  <si>
    <t>PLASTIC TOP ROOF</t>
  </si>
  <si>
    <t>TECHO SUPERIOR</t>
  </si>
  <si>
    <t>8708291600</t>
  </si>
  <si>
    <t>5BWV-260212-5000</t>
  </si>
  <si>
    <t>BRACKET, PLASTIC TOP ROOF</t>
  </si>
  <si>
    <t>SOPORTE PARA TECHO SUPERIOR DE PLASTICO</t>
  </si>
  <si>
    <t>5BWV-270300-5000</t>
  </si>
  <si>
    <t>FRONT CV DRIVE SHAFT</t>
  </si>
  <si>
    <t>EJE DE TRANSMISION</t>
  </si>
  <si>
    <t>8708509999</t>
  </si>
  <si>
    <t>3 Únicamente: Fundas para ejes traseros; flechas semiejes, acoplables al mecanismo diferencial, incluso las de velocidad constante (homocinéticas) y sus partes componentes; juntas universales, tipo cardán para cruceta; ejes cardánicos.</t>
  </si>
  <si>
    <t>1931R825050423</t>
  </si>
  <si>
    <t>5BWV-320100-5000</t>
  </si>
  <si>
    <t>GEARSHIFT CABLE</t>
  </si>
  <si>
    <t>CHICOTE ARBOL FLEXIBLE</t>
  </si>
  <si>
    <t>8483100804</t>
  </si>
  <si>
    <t>5BWV-321000-5900</t>
  </si>
  <si>
    <t>GEARSHIFT ASSY</t>
  </si>
  <si>
    <t>PALANCA DE CAMBIOS</t>
  </si>
  <si>
    <t>5BWV-341100-5000</t>
  </si>
  <si>
    <t>DRIVER SEAT BELT ASSY</t>
  </si>
  <si>
    <t>CINTURON DE SEGURIDAD</t>
  </si>
  <si>
    <t>8708210100</t>
  </si>
  <si>
    <t>5BYV-021300-7000</t>
  </si>
  <si>
    <t>MUFFLER ASSY</t>
  </si>
  <si>
    <t>SILENCIADOR</t>
  </si>
  <si>
    <t>5BYV-160111-9600</t>
  </si>
  <si>
    <t>LH HEADLIGHT</t>
  </si>
  <si>
    <t>FARO IZQUIERDO</t>
  </si>
  <si>
    <t>8512209900</t>
  </si>
  <si>
    <t>TBQ381</t>
  </si>
  <si>
    <t>FRAME</t>
  </si>
  <si>
    <t>EMBALAJE METALICO</t>
  </si>
  <si>
    <t>7326909999</t>
  </si>
  <si>
    <t>TBQ381-3</t>
  </si>
  <si>
    <t>Packing iron rack accessories-3</t>
  </si>
  <si>
    <t>SOPORTE DE MONTAJE DE LA BARRA SUPERIOR DELANTERA I</t>
  </si>
  <si>
    <t>TBQ381-4</t>
  </si>
  <si>
    <t>Packing iron rack accessories-4</t>
  </si>
  <si>
    <t>SOPORTE DE MONTAJE DE LA BARRA SUPERIOR DELANTERA II</t>
  </si>
  <si>
    <t>TBQ381-6</t>
  </si>
  <si>
    <t>Packing iron rack accessories-6</t>
  </si>
  <si>
    <t>SOPORTE DE FIJACION DEL PARACHOQUES DELANTERO</t>
  </si>
  <si>
    <t>INCOTERM:CIF MANZANILLO</t>
  </si>
  <si>
    <t>PCS</t>
  </si>
  <si>
    <t>SAY TOTAL US DOLLAR FIFTEEN THOUSAND NINE HUNDRED SEVENTY ONE AND THIRTY SIX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</si>
</sst>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9" x14ac:knownFonts="1">
    <font>
      <sz val="11"/>
      <color indexed="8"/>
      <name val="Calibri"/>
      <family val="2"/>
      <charset val="1"/>
      <scheme val="minor"/>
    </font>
    <font>
      <b/>
      <sz val="17"/>
      <color rgb="FF000000"/>
      <name val="Calibri"/>
    </font>
    <font>
      <sz val="9"/>
      <color rgb="FF000000"/>
      <name val="simhei"/>
    </font>
    <font>
      <b/>
      <sz val="12"/>
      <color rgb="FF000000"/>
      <name val="Calibri"/>
    </font>
    <font>
      <b/>
      <u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-CFMOTO/Downloads/CONTENDORES%20EN%20PROCESO/EGLV143574068432/BSIU8032716/CI-25CFTT176694_for_BSIU8032716%20-%20IN.xlsx" TargetMode="External"/><Relationship Id="rId1" Type="http://schemas.openxmlformats.org/officeDocument/2006/relationships/externalLinkPath" Target="file:///C:/Users/USER-CFMOTO/Downloads/CONTENDORES%20EN%20PROCESO/EGLV143574068432/BSIU8032716/CI-25CFTT176694_for_BSIU8032716%20-%20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">
          <cell r="C18" t="str">
            <v>PART NO.</v>
          </cell>
          <cell r="D18" t="str">
            <v>ENGLISH NAME</v>
          </cell>
          <cell r="E18" t="str">
            <v>DESCRIPCION(ES)</v>
          </cell>
          <cell r="F18" t="str">
            <v>HTS</v>
          </cell>
          <cell r="G18" t="str">
            <v>PROSEC</v>
          </cell>
          <cell r="H18" t="str">
            <v>R8</v>
          </cell>
          <cell r="I18" t="str">
            <v>QTY</v>
          </cell>
          <cell r="J18" t="str">
            <v>U-M</v>
          </cell>
          <cell r="K18" t="str">
            <v>TOTALNETWEIGHT</v>
          </cell>
          <cell r="L18" t="str">
            <v>PRICE(USD)</v>
          </cell>
          <cell r="M18" t="str">
            <v>AMOUNT(USD)</v>
          </cell>
          <cell r="N18" t="str">
            <v>REGIMEN</v>
          </cell>
        </row>
        <row r="19">
          <cell r="C19" t="str">
            <v>5BWV-021100-5000</v>
          </cell>
          <cell r="D19" t="str">
            <v>FRONT EXHAUST PIPE ASSY</v>
          </cell>
          <cell r="E19" t="str">
            <v>TUBO DE ESCAPE DELANTERO</v>
          </cell>
          <cell r="F19" t="str">
            <v>8708920399</v>
          </cell>
          <cell r="I19">
            <v>48</v>
          </cell>
          <cell r="J19" t="str">
            <v>PZA</v>
          </cell>
          <cell r="K19">
            <v>30.672000000000001</v>
          </cell>
          <cell r="L19">
            <v>12.76</v>
          </cell>
          <cell r="M19">
            <v>612.48</v>
          </cell>
          <cell r="N19" t="str">
            <v>IN</v>
          </cell>
        </row>
        <row r="20">
          <cell r="C20" t="str">
            <v>5BWV-030070-5000</v>
          </cell>
          <cell r="D20" t="str">
            <v>REAR BEAM PIPE ASSY</v>
          </cell>
          <cell r="E20" t="str">
            <v>TUBO DE VIGA TRASERO</v>
          </cell>
          <cell r="F20" t="str">
            <v>8708299908</v>
          </cell>
          <cell r="G20" t="str">
            <v xml:space="preserve">Ex. </v>
          </cell>
          <cell r="I20">
            <v>48</v>
          </cell>
          <cell r="J20" t="str">
            <v>PZA</v>
          </cell>
          <cell r="K20">
            <v>5.6639999999999997</v>
          </cell>
          <cell r="L20">
            <v>4.09</v>
          </cell>
          <cell r="M20">
            <v>196.32</v>
          </cell>
          <cell r="N20" t="str">
            <v>IN</v>
          </cell>
        </row>
        <row r="21">
          <cell r="C21" t="str">
            <v>5BWV-031000-5902-01-0BP00</v>
          </cell>
          <cell r="D21" t="str">
            <v>FRAME ASSY</v>
          </cell>
          <cell r="E21" t="str">
            <v>CHASIS</v>
          </cell>
          <cell r="F21" t="str">
            <v>8708990700</v>
          </cell>
          <cell r="G21" t="str">
            <v>Ex.</v>
          </cell>
          <cell r="I21">
            <v>8</v>
          </cell>
          <cell r="J21" t="str">
            <v>PZA</v>
          </cell>
          <cell r="K21">
            <v>689.6</v>
          </cell>
          <cell r="L21">
            <v>295.12</v>
          </cell>
          <cell r="M21">
            <v>2360.96</v>
          </cell>
          <cell r="N21" t="str">
            <v>IN</v>
          </cell>
        </row>
        <row r="22">
          <cell r="C22" t="str">
            <v>5BWV-041012-5000</v>
          </cell>
          <cell r="D22" t="str">
            <v>MIDDLE NET</v>
          </cell>
          <cell r="E22" t="str">
            <v>PARTE PARA CARROCERIA</v>
          </cell>
          <cell r="F22" t="str">
            <v>3926300201</v>
          </cell>
          <cell r="G22" t="str">
            <v xml:space="preserve">Ex. </v>
          </cell>
          <cell r="I22">
            <v>8</v>
          </cell>
          <cell r="J22" t="str">
            <v>PZA</v>
          </cell>
          <cell r="K22">
            <v>0.04</v>
          </cell>
          <cell r="L22">
            <v>1.71</v>
          </cell>
          <cell r="M22">
            <v>13.68</v>
          </cell>
          <cell r="N22" t="str">
            <v>IN</v>
          </cell>
        </row>
        <row r="23">
          <cell r="C23" t="str">
            <v>5BWV-041021-5000</v>
          </cell>
          <cell r="D23" t="str">
            <v>HEADLIGHT PANEL</v>
          </cell>
          <cell r="E23" t="str">
            <v>TORNILLO DE ACERO DE USO AUTOMOTRIZ</v>
          </cell>
          <cell r="F23" t="str">
            <v>7318159903</v>
          </cell>
          <cell r="H23" t="str">
            <v>1931R825050575</v>
          </cell>
          <cell r="I23">
            <v>8</v>
          </cell>
          <cell r="J23" t="str">
            <v>PZA</v>
          </cell>
          <cell r="K23">
            <v>6.4000000000000001E-2</v>
          </cell>
          <cell r="L23">
            <v>4.8499999999999996</v>
          </cell>
          <cell r="M23">
            <v>38.799999999999997</v>
          </cell>
          <cell r="N23" t="str">
            <v>IN</v>
          </cell>
        </row>
        <row r="24">
          <cell r="C24" t="str">
            <v>5BWV-041031-5001</v>
          </cell>
          <cell r="D24" t="str">
            <v>FRONT INNER LOCK PANEL</v>
          </cell>
          <cell r="E24" t="str">
            <v>PARTE PARA CARROCERIA</v>
          </cell>
          <cell r="F24" t="str">
            <v>3926300201</v>
          </cell>
          <cell r="G24" t="str">
            <v xml:space="preserve">Ex. </v>
          </cell>
          <cell r="I24">
            <v>8</v>
          </cell>
          <cell r="J24" t="str">
            <v>PZA</v>
          </cell>
          <cell r="K24">
            <v>12</v>
          </cell>
          <cell r="L24">
            <v>3.25</v>
          </cell>
          <cell r="M24">
            <v>26</v>
          </cell>
          <cell r="N24" t="str">
            <v>IN</v>
          </cell>
        </row>
        <row r="25">
          <cell r="C25" t="str">
            <v>5BWV-041041-5000-0BM00</v>
          </cell>
          <cell r="D25" t="str">
            <v>FRONT TOP COVER</v>
          </cell>
          <cell r="E25" t="str">
            <v>PARTE PARA CARROCERIA</v>
          </cell>
          <cell r="F25" t="str">
            <v>8708299999</v>
          </cell>
          <cell r="G25" t="str">
            <v xml:space="preserve">Ex. </v>
          </cell>
          <cell r="I25">
            <v>7</v>
          </cell>
          <cell r="J25" t="str">
            <v>PZA</v>
          </cell>
          <cell r="K25">
            <v>2.8559999999999999</v>
          </cell>
          <cell r="L25">
            <v>14.04</v>
          </cell>
          <cell r="M25">
            <v>98.28</v>
          </cell>
          <cell r="N25" t="str">
            <v>IN</v>
          </cell>
        </row>
        <row r="26">
          <cell r="C26" t="str">
            <v>5BWV-041041-5000-0RM00</v>
          </cell>
          <cell r="D26" t="str">
            <v>FRONT TOP COVER</v>
          </cell>
          <cell r="E26" t="str">
            <v>CUBIERTA DE SERVICIO FRONTAL</v>
          </cell>
          <cell r="F26" t="str">
            <v>8708299999</v>
          </cell>
          <cell r="G26" t="str">
            <v xml:space="preserve">Ex. </v>
          </cell>
          <cell r="I26">
            <v>1</v>
          </cell>
          <cell r="J26" t="str">
            <v>PZA</v>
          </cell>
          <cell r="K26">
            <v>1.524</v>
          </cell>
          <cell r="L26">
            <v>14.02</v>
          </cell>
          <cell r="M26">
            <v>14.02</v>
          </cell>
          <cell r="N26" t="str">
            <v>IN</v>
          </cell>
        </row>
        <row r="27">
          <cell r="C27" t="str">
            <v>5BWV-041051-5001</v>
          </cell>
          <cell r="D27" t="str">
            <v>FRONT LH DECO PLATE</v>
          </cell>
          <cell r="E27" t="str">
            <v>PARTE PARA CARROCERIA</v>
          </cell>
          <cell r="F27" t="str">
            <v>8708299999</v>
          </cell>
          <cell r="G27" t="str">
            <v xml:space="preserve">Ex. </v>
          </cell>
          <cell r="I27">
            <v>8</v>
          </cell>
          <cell r="J27" t="str">
            <v>PZA</v>
          </cell>
          <cell r="K27">
            <v>7.4480000000000004</v>
          </cell>
          <cell r="L27">
            <v>2.4500000000000002</v>
          </cell>
          <cell r="M27">
            <v>19.600000000000001</v>
          </cell>
          <cell r="N27" t="str">
            <v>IN</v>
          </cell>
        </row>
        <row r="28">
          <cell r="C28" t="str">
            <v>5BWV-041052-5001</v>
          </cell>
          <cell r="D28" t="str">
            <v>FRONT RH DECO PLATE</v>
          </cell>
          <cell r="E28" t="str">
            <v>PARTE PARA CARROCERIA</v>
          </cell>
          <cell r="F28" t="str">
            <v>8708299999</v>
          </cell>
          <cell r="G28" t="str">
            <v xml:space="preserve">Ex. </v>
          </cell>
          <cell r="I28">
            <v>8</v>
          </cell>
          <cell r="J28" t="str">
            <v>PZA</v>
          </cell>
          <cell r="K28">
            <v>7.4480000000000004</v>
          </cell>
          <cell r="L28">
            <v>2.4300000000000002</v>
          </cell>
          <cell r="M28">
            <v>19.440000000000001</v>
          </cell>
          <cell r="N28" t="str">
            <v>IN</v>
          </cell>
        </row>
        <row r="29">
          <cell r="C29" t="str">
            <v>5BWV-041061-5000</v>
          </cell>
          <cell r="D29" t="str">
            <v>LH FRONT WIDENED FENDER</v>
          </cell>
          <cell r="E29" t="str">
            <v>GUARDAFANGOS DELANTERO</v>
          </cell>
          <cell r="F29" t="str">
            <v>8708290100</v>
          </cell>
          <cell r="I29">
            <v>8</v>
          </cell>
          <cell r="J29" t="str">
            <v>PZA</v>
          </cell>
          <cell r="K29">
            <v>5.4</v>
          </cell>
          <cell r="L29">
            <v>2.3199999999999998</v>
          </cell>
          <cell r="M29">
            <v>18.559999999999999</v>
          </cell>
          <cell r="N29" t="str">
            <v>IN</v>
          </cell>
        </row>
        <row r="30">
          <cell r="C30" t="str">
            <v>5BWV-041062-5000</v>
          </cell>
          <cell r="D30" t="str">
            <v>FRONT RH EXTENDED FENDER</v>
          </cell>
          <cell r="E30" t="str">
            <v>GUARDAFANGOS DELANTERO</v>
          </cell>
          <cell r="F30" t="str">
            <v>8708290100</v>
          </cell>
          <cell r="I30">
            <v>19</v>
          </cell>
          <cell r="J30" t="str">
            <v>PZA</v>
          </cell>
          <cell r="K30">
            <v>12.825000000000001</v>
          </cell>
          <cell r="L30">
            <v>2.2999999999999998</v>
          </cell>
          <cell r="M30">
            <v>43.7</v>
          </cell>
          <cell r="N30" t="str">
            <v>IN</v>
          </cell>
        </row>
        <row r="31">
          <cell r="C31" t="str">
            <v>5BWV-042023-5001</v>
          </cell>
          <cell r="D31" t="str">
            <v>LH SIDE PANEL</v>
          </cell>
          <cell r="E31" t="str">
            <v>GUARNICION PARA CARROCERIA DE PLASTICO</v>
          </cell>
          <cell r="F31" t="str">
            <v>3926300299</v>
          </cell>
          <cell r="G31" t="str">
            <v xml:space="preserve">Ex. </v>
          </cell>
          <cell r="I31">
            <v>8</v>
          </cell>
          <cell r="J31" t="str">
            <v>PZA</v>
          </cell>
          <cell r="K31">
            <v>14.288</v>
          </cell>
          <cell r="L31">
            <v>3.58</v>
          </cell>
          <cell r="M31">
            <v>28.64</v>
          </cell>
          <cell r="N31" t="str">
            <v>IN</v>
          </cell>
        </row>
        <row r="32">
          <cell r="C32" t="str">
            <v>5BWV-042024-5001</v>
          </cell>
          <cell r="D32" t="str">
            <v>RH SIDE PANEL</v>
          </cell>
          <cell r="E32" t="str">
            <v>PANEL LATERAL</v>
          </cell>
          <cell r="F32" t="str">
            <v>8708299902</v>
          </cell>
          <cell r="G32" t="str">
            <v xml:space="preserve">Ex. </v>
          </cell>
          <cell r="I32">
            <v>8</v>
          </cell>
          <cell r="J32" t="str">
            <v>PZA</v>
          </cell>
          <cell r="K32">
            <v>1.8720000000000001</v>
          </cell>
          <cell r="L32">
            <v>3.71</v>
          </cell>
          <cell r="M32">
            <v>29.68</v>
          </cell>
          <cell r="N32" t="str">
            <v>IN</v>
          </cell>
        </row>
        <row r="33">
          <cell r="C33" t="str">
            <v>5BWV-042043-5000</v>
          </cell>
          <cell r="D33" t="str">
            <v>MIDDLE COVER</v>
          </cell>
          <cell r="E33" t="str">
            <v>CUBIERTA INTERMEDIA</v>
          </cell>
          <cell r="F33" t="str">
            <v>8708299999</v>
          </cell>
          <cell r="G33" t="str">
            <v xml:space="preserve">Ex. </v>
          </cell>
          <cell r="I33">
            <v>8</v>
          </cell>
          <cell r="J33" t="str">
            <v>PZA</v>
          </cell>
          <cell r="K33">
            <v>1.2</v>
          </cell>
          <cell r="L33">
            <v>3.44</v>
          </cell>
          <cell r="M33">
            <v>27.52</v>
          </cell>
          <cell r="N33" t="str">
            <v>IN</v>
          </cell>
        </row>
        <row r="34">
          <cell r="C34" t="str">
            <v>5BWV-042052-5001</v>
          </cell>
          <cell r="D34" t="str">
            <v>SEAT REAR FENDER</v>
          </cell>
          <cell r="E34" t="str">
            <v>GUARNICION PARA CARROCERIA DE PLASTICO</v>
          </cell>
          <cell r="F34" t="str">
            <v>3926300299</v>
          </cell>
          <cell r="G34" t="str">
            <v xml:space="preserve">Ex. </v>
          </cell>
          <cell r="I34">
            <v>8</v>
          </cell>
          <cell r="J34" t="str">
            <v>PZA</v>
          </cell>
          <cell r="K34">
            <v>20.904</v>
          </cell>
          <cell r="L34">
            <v>6.01</v>
          </cell>
          <cell r="M34">
            <v>48.08</v>
          </cell>
          <cell r="N34" t="str">
            <v>IN</v>
          </cell>
        </row>
        <row r="35">
          <cell r="C35" t="str">
            <v>5BWV-042061-5000</v>
          </cell>
          <cell r="D35" t="str">
            <v>FRONT SKID PLATE</v>
          </cell>
          <cell r="E35" t="str">
            <v>PARTE PARA CARROCERIA</v>
          </cell>
          <cell r="F35" t="str">
            <v>8708299999</v>
          </cell>
          <cell r="G35" t="str">
            <v xml:space="preserve">Ex. </v>
          </cell>
          <cell r="I35">
            <v>8</v>
          </cell>
          <cell r="J35" t="str">
            <v>PZA</v>
          </cell>
          <cell r="K35">
            <v>1.2</v>
          </cell>
          <cell r="L35">
            <v>2.93</v>
          </cell>
          <cell r="M35">
            <v>23.44</v>
          </cell>
          <cell r="N35" t="str">
            <v>IN</v>
          </cell>
        </row>
        <row r="36">
          <cell r="C36" t="str">
            <v>5BWV-042062-5000</v>
          </cell>
          <cell r="D36" t="str">
            <v>MIDDLE SKID PLATE, SMALL</v>
          </cell>
          <cell r="E36" t="str">
            <v>PLACA PROTECTORA</v>
          </cell>
          <cell r="F36" t="str">
            <v>8708299999</v>
          </cell>
          <cell r="G36" t="str">
            <v xml:space="preserve">Ex. </v>
          </cell>
          <cell r="I36">
            <v>8</v>
          </cell>
          <cell r="J36" t="str">
            <v>PZA</v>
          </cell>
          <cell r="K36">
            <v>7.1999999999999995E-2</v>
          </cell>
          <cell r="L36">
            <v>3.58</v>
          </cell>
          <cell r="M36">
            <v>28.64</v>
          </cell>
          <cell r="N36" t="str">
            <v>IN</v>
          </cell>
        </row>
        <row r="37">
          <cell r="C37" t="str">
            <v>5BWV-042063-5001</v>
          </cell>
          <cell r="D37" t="str">
            <v>MIDDLE SKID PLATE, BIG</v>
          </cell>
          <cell r="E37" t="str">
            <v>PLACA PROTECTORA</v>
          </cell>
          <cell r="F37" t="str">
            <v>8708299999</v>
          </cell>
          <cell r="G37" t="str">
            <v xml:space="preserve">Ex. </v>
          </cell>
          <cell r="I37">
            <v>8</v>
          </cell>
          <cell r="J37" t="str">
            <v>PZA</v>
          </cell>
          <cell r="K37">
            <v>8.1920000000000002</v>
          </cell>
          <cell r="L37">
            <v>10.78</v>
          </cell>
          <cell r="M37">
            <v>86.24</v>
          </cell>
          <cell r="N37" t="str">
            <v>IN</v>
          </cell>
        </row>
        <row r="38">
          <cell r="C38" t="str">
            <v>5BWV-042065-5000</v>
          </cell>
          <cell r="D38" t="str">
            <v>REAR SKID PLATE</v>
          </cell>
          <cell r="E38" t="str">
            <v>PARTE PARA CARROCERIA</v>
          </cell>
          <cell r="F38" t="str">
            <v>8708299999</v>
          </cell>
          <cell r="G38" t="str">
            <v xml:space="preserve">Ex. </v>
          </cell>
          <cell r="I38">
            <v>8</v>
          </cell>
          <cell r="J38" t="str">
            <v>PZA</v>
          </cell>
          <cell r="K38">
            <v>2.1680000000000001</v>
          </cell>
          <cell r="L38">
            <v>0.86</v>
          </cell>
          <cell r="M38">
            <v>6.88</v>
          </cell>
          <cell r="N38" t="str">
            <v>IN</v>
          </cell>
        </row>
        <row r="39">
          <cell r="C39" t="str">
            <v>5BWV-043011-5001</v>
          </cell>
          <cell r="D39" t="str">
            <v>UPPER BODY, DASHBOARD</v>
          </cell>
          <cell r="E39" t="str">
            <v>PARTE PARA CARROCERIA</v>
          </cell>
          <cell r="F39" t="str">
            <v>3926300201</v>
          </cell>
          <cell r="G39" t="str">
            <v xml:space="preserve">Ex. </v>
          </cell>
          <cell r="I39">
            <v>8</v>
          </cell>
          <cell r="J39" t="str">
            <v>PZA</v>
          </cell>
          <cell r="K39">
            <v>2.08</v>
          </cell>
          <cell r="L39">
            <v>8.0500000000000007</v>
          </cell>
          <cell r="M39">
            <v>64.400000000000006</v>
          </cell>
          <cell r="N39" t="str">
            <v>IN</v>
          </cell>
        </row>
        <row r="40">
          <cell r="C40" t="str">
            <v>5BWV-043031-5001</v>
          </cell>
          <cell r="D40" t="str">
            <v>DASHBOARD, LOWER</v>
          </cell>
          <cell r="E40" t="str">
            <v>PARTE PARA CARROCERIA</v>
          </cell>
          <cell r="F40" t="str">
            <v>3926300201</v>
          </cell>
          <cell r="G40" t="str">
            <v xml:space="preserve">Ex. </v>
          </cell>
          <cell r="I40">
            <v>8</v>
          </cell>
          <cell r="J40" t="str">
            <v>PZA</v>
          </cell>
          <cell r="K40">
            <v>1.1839999999999999</v>
          </cell>
          <cell r="L40">
            <v>2.61</v>
          </cell>
          <cell r="M40">
            <v>20.88</v>
          </cell>
          <cell r="N40" t="str">
            <v>IN</v>
          </cell>
        </row>
        <row r="41">
          <cell r="C41" t="str">
            <v>5BWV-043041-5002</v>
          </cell>
          <cell r="D41" t="str">
            <v>FRONT FENDER</v>
          </cell>
          <cell r="E41" t="str">
            <v>PARTE PARA CARROCERIA</v>
          </cell>
          <cell r="F41" t="str">
            <v>3926300201</v>
          </cell>
          <cell r="G41" t="str">
            <v xml:space="preserve">Ex. </v>
          </cell>
          <cell r="I41">
            <v>8</v>
          </cell>
          <cell r="J41" t="str">
            <v>PZA</v>
          </cell>
          <cell r="K41">
            <v>7.24</v>
          </cell>
          <cell r="L41">
            <v>11.42</v>
          </cell>
          <cell r="M41">
            <v>91.36</v>
          </cell>
          <cell r="N41" t="str">
            <v>IN</v>
          </cell>
        </row>
        <row r="42">
          <cell r="C42" t="str">
            <v>5BWV-043051-5000</v>
          </cell>
          <cell r="D42" t="str">
            <v>PEDAL</v>
          </cell>
          <cell r="E42" t="str">
            <v>PEDAL</v>
          </cell>
          <cell r="F42" t="str">
            <v>8708299999</v>
          </cell>
          <cell r="G42" t="str">
            <v xml:space="preserve">Ex. </v>
          </cell>
          <cell r="I42">
            <v>8</v>
          </cell>
          <cell r="J42" t="str">
            <v>PZA</v>
          </cell>
          <cell r="K42">
            <v>1.6639999999999999</v>
          </cell>
          <cell r="L42">
            <v>6.35</v>
          </cell>
          <cell r="M42">
            <v>50.8</v>
          </cell>
          <cell r="N42" t="str">
            <v>IN</v>
          </cell>
        </row>
        <row r="43">
          <cell r="C43" t="str">
            <v>5BWV-043056-5001</v>
          </cell>
          <cell r="D43" t="str">
            <v>FUEL TANK GUARD</v>
          </cell>
          <cell r="E43" t="str">
            <v>PROTECTOR PARA TANQUE DE COMBUSTIBLE</v>
          </cell>
          <cell r="F43" t="str">
            <v>8708299999</v>
          </cell>
          <cell r="G43" t="str">
            <v xml:space="preserve">Ex. </v>
          </cell>
          <cell r="I43">
            <v>8</v>
          </cell>
          <cell r="J43" t="str">
            <v>PZA</v>
          </cell>
          <cell r="K43">
            <v>0.58399999999999996</v>
          </cell>
          <cell r="L43">
            <v>7.22</v>
          </cell>
          <cell r="M43">
            <v>57.76</v>
          </cell>
          <cell r="N43" t="str">
            <v>IN</v>
          </cell>
        </row>
        <row r="44">
          <cell r="C44" t="str">
            <v>5BWV-060210-5000A</v>
          </cell>
          <cell r="D44" t="str">
            <v>REAR LH LOWER SWING ARM ASSY</v>
          </cell>
          <cell r="E44" t="str">
            <v>BRAZO OSCILANTE PARA SUSPENSION TRASERA</v>
          </cell>
          <cell r="F44" t="str">
            <v>8708800500</v>
          </cell>
          <cell r="I44">
            <v>18</v>
          </cell>
          <cell r="J44" t="str">
            <v>PZA</v>
          </cell>
          <cell r="K44">
            <v>54</v>
          </cell>
          <cell r="L44">
            <v>2.33</v>
          </cell>
          <cell r="M44">
            <v>41.94</v>
          </cell>
          <cell r="N44" t="str">
            <v>IN</v>
          </cell>
        </row>
        <row r="45">
          <cell r="C45" t="str">
            <v>5BWV-060410-5000A</v>
          </cell>
          <cell r="D45" t="str">
            <v>REAR RH LOWER SWING ARM ASSY</v>
          </cell>
          <cell r="E45" t="str">
            <v>BRAZO OSCILANTE PARA SUSPENSION TRASERA</v>
          </cell>
          <cell r="F45" t="str">
            <v>8708800500</v>
          </cell>
          <cell r="I45">
            <v>16</v>
          </cell>
          <cell r="J45" t="str">
            <v>PZA</v>
          </cell>
          <cell r="K45">
            <v>48</v>
          </cell>
          <cell r="L45">
            <v>2.33</v>
          </cell>
          <cell r="M45">
            <v>37.28</v>
          </cell>
          <cell r="N45" t="str">
            <v>IN</v>
          </cell>
        </row>
        <row r="46">
          <cell r="C46" t="str">
            <v>5BWV-07Z0AA-1100</v>
          </cell>
          <cell r="D46" t="str">
            <v>FRONT WHEEL ASSY</v>
          </cell>
          <cell r="I46">
            <v>16</v>
          </cell>
          <cell r="J46" t="str">
            <v>PZA</v>
          </cell>
          <cell r="K46">
            <v>288</v>
          </cell>
          <cell r="L46">
            <v>56.86</v>
          </cell>
          <cell r="M46">
            <v>909.76</v>
          </cell>
          <cell r="N46" t="str">
            <v>IN</v>
          </cell>
        </row>
        <row r="47">
          <cell r="C47" t="str">
            <v>5BWV-081000-5300</v>
          </cell>
          <cell r="D47" t="str">
            <v>HYDRAULIC BRAKE ASSY</v>
          </cell>
          <cell r="E47" t="str">
            <v>FRENO HIDRAULICO</v>
          </cell>
          <cell r="F47" t="str">
            <v>8708309999</v>
          </cell>
          <cell r="I47">
            <v>8</v>
          </cell>
          <cell r="J47" t="str">
            <v>PZA</v>
          </cell>
          <cell r="K47">
            <v>64.8</v>
          </cell>
          <cell r="L47">
            <v>122.92</v>
          </cell>
          <cell r="M47">
            <v>983.36</v>
          </cell>
          <cell r="N47" t="str">
            <v>IN</v>
          </cell>
        </row>
        <row r="48">
          <cell r="C48" t="str">
            <v>5BWV-104200-5000</v>
          </cell>
          <cell r="D48" t="str">
            <v>RH STEERING ROD ASSY</v>
          </cell>
          <cell r="E48" t="str">
            <v>BARRA DE DIRECCION DERECHA</v>
          </cell>
          <cell r="F48" t="str">
            <v>8708941206</v>
          </cell>
          <cell r="I48">
            <v>48</v>
          </cell>
          <cell r="J48" t="str">
            <v>PZA</v>
          </cell>
          <cell r="K48">
            <v>42.192</v>
          </cell>
          <cell r="L48">
            <v>10.68</v>
          </cell>
          <cell r="M48">
            <v>512.64</v>
          </cell>
          <cell r="N48" t="str">
            <v>IN</v>
          </cell>
        </row>
        <row r="49">
          <cell r="C49" t="str">
            <v>5BWV-11Z0AA-1100</v>
          </cell>
          <cell r="D49" t="str">
            <v>REAR WHEEL ASSY</v>
          </cell>
          <cell r="I49">
            <v>16</v>
          </cell>
          <cell r="J49" t="str">
            <v>PZA</v>
          </cell>
          <cell r="K49">
            <v>288</v>
          </cell>
          <cell r="L49">
            <v>63.44</v>
          </cell>
          <cell r="M49">
            <v>1015.04</v>
          </cell>
          <cell r="N49" t="str">
            <v>IN</v>
          </cell>
        </row>
        <row r="50">
          <cell r="C50" t="str">
            <v>5BWV-120100-5000A</v>
          </cell>
          <cell r="D50" t="str">
            <v>PLASTIC FUEL TANK ASSY</v>
          </cell>
          <cell r="E50" t="str">
            <v>TANQUE DE COMBUSTIBLE</v>
          </cell>
          <cell r="F50" t="str">
            <v>8708990400</v>
          </cell>
          <cell r="G50" t="str">
            <v xml:space="preserve">Ex. </v>
          </cell>
          <cell r="I50">
            <v>8</v>
          </cell>
          <cell r="J50" t="str">
            <v>PZA</v>
          </cell>
          <cell r="K50">
            <v>38.96</v>
          </cell>
          <cell r="L50">
            <v>41.21</v>
          </cell>
          <cell r="M50">
            <v>329.68</v>
          </cell>
          <cell r="N50" t="str">
            <v>IN</v>
          </cell>
        </row>
        <row r="51">
          <cell r="C51" t="str">
            <v>5BWV-132000-1700-0F500</v>
          </cell>
          <cell r="D51" t="str">
            <v>PASSENGER SEAT ASSY</v>
          </cell>
          <cell r="E51" t="str">
            <v>ASIENTO DEL CONDUCTOR</v>
          </cell>
          <cell r="F51" t="str">
            <v>9401200100</v>
          </cell>
          <cell r="I51">
            <v>4</v>
          </cell>
          <cell r="J51" t="str">
            <v>PZA</v>
          </cell>
          <cell r="K51">
            <v>52</v>
          </cell>
          <cell r="L51">
            <v>37.85</v>
          </cell>
          <cell r="M51">
            <v>151.4</v>
          </cell>
          <cell r="N51" t="str">
            <v>IN</v>
          </cell>
        </row>
        <row r="52">
          <cell r="C52" t="str">
            <v>5BWV-150820-5101</v>
          </cell>
          <cell r="D52" t="str">
            <v>EPS MOTOR</v>
          </cell>
          <cell r="E52" t="str">
            <v>MODULO CONTROLADOR DE DIRECCION</v>
          </cell>
          <cell r="F52" t="str">
            <v>9032899900</v>
          </cell>
          <cell r="G52" t="str">
            <v xml:space="preserve">Ex. </v>
          </cell>
          <cell r="I52">
            <v>14</v>
          </cell>
          <cell r="J52" t="str">
            <v>PZA</v>
          </cell>
          <cell r="K52">
            <v>35</v>
          </cell>
          <cell r="L52">
            <v>68.709999999999994</v>
          </cell>
          <cell r="M52">
            <v>961.94</v>
          </cell>
          <cell r="N52" t="str">
            <v>IN</v>
          </cell>
        </row>
        <row r="53">
          <cell r="C53" t="str">
            <v>5BWV-223011-5000</v>
          </cell>
          <cell r="D53" t="str">
            <v>PLASTIC REAR CARGO BOX</v>
          </cell>
          <cell r="E53" t="str">
            <v>CAJA DE CARGA TRASERA DE PLASTICO</v>
          </cell>
          <cell r="F53" t="str">
            <v>8708999999</v>
          </cell>
          <cell r="I53">
            <v>8</v>
          </cell>
          <cell r="J53" t="str">
            <v>PZA</v>
          </cell>
          <cell r="K53">
            <v>83.823999999999998</v>
          </cell>
          <cell r="L53">
            <v>23</v>
          </cell>
          <cell r="M53">
            <v>184</v>
          </cell>
          <cell r="N53" t="str">
            <v>IN</v>
          </cell>
        </row>
        <row r="54">
          <cell r="C54" t="str">
            <v>5BWV-223021-5000</v>
          </cell>
          <cell r="D54" t="str">
            <v>LH SIDE PLATE, CARGO BOX</v>
          </cell>
          <cell r="E54" t="str">
            <v>PLACA LATERAL IZQUIERDA</v>
          </cell>
          <cell r="F54" t="str">
            <v>8708999999</v>
          </cell>
          <cell r="I54">
            <v>8</v>
          </cell>
          <cell r="J54" t="str">
            <v>PZA</v>
          </cell>
          <cell r="K54">
            <v>5.9039999999999999</v>
          </cell>
          <cell r="L54">
            <v>3.22</v>
          </cell>
          <cell r="M54">
            <v>25.76</v>
          </cell>
          <cell r="N54" t="str">
            <v>IN</v>
          </cell>
        </row>
        <row r="55">
          <cell r="C55" t="str">
            <v>5BWV-223022-5000</v>
          </cell>
          <cell r="D55" t="str">
            <v>RH SIDE PLATE, CARGO BOX</v>
          </cell>
          <cell r="E55" t="str">
            <v>PANEL DE PUERTA TRASERA</v>
          </cell>
          <cell r="F55" t="str">
            <v>8708290400</v>
          </cell>
          <cell r="I55">
            <v>8</v>
          </cell>
          <cell r="J55" t="str">
            <v>PZA</v>
          </cell>
          <cell r="K55">
            <v>13.096</v>
          </cell>
          <cell r="L55">
            <v>3.5</v>
          </cell>
          <cell r="M55">
            <v>28</v>
          </cell>
          <cell r="N55" t="str">
            <v>IN</v>
          </cell>
        </row>
        <row r="56">
          <cell r="C56" t="str">
            <v>5BWV-223031-5000</v>
          </cell>
          <cell r="D56" t="str">
            <v>TAIL LIGHT PANEL</v>
          </cell>
          <cell r="E56" t="str">
            <v>PANEL DE LUCES TRASERAS</v>
          </cell>
          <cell r="F56" t="str">
            <v>8512200200</v>
          </cell>
          <cell r="I56">
            <v>8</v>
          </cell>
          <cell r="J56" t="str">
            <v>PZA</v>
          </cell>
          <cell r="K56">
            <v>2.7440000000000002</v>
          </cell>
          <cell r="L56">
            <v>6.35</v>
          </cell>
          <cell r="M56">
            <v>50.8</v>
          </cell>
          <cell r="N56" t="str">
            <v>IN</v>
          </cell>
        </row>
        <row r="57">
          <cell r="C57" t="str">
            <v>5BWV-260211-5001</v>
          </cell>
          <cell r="D57" t="str">
            <v>PLASTIC TOP ROOF</v>
          </cell>
          <cell r="E57" t="str">
            <v>TECHO SUPERIOR</v>
          </cell>
          <cell r="F57" t="str">
            <v>8708291600</v>
          </cell>
          <cell r="I57">
            <v>8</v>
          </cell>
          <cell r="J57" t="str">
            <v>PZA</v>
          </cell>
          <cell r="K57">
            <v>52.695999999999998</v>
          </cell>
          <cell r="L57">
            <v>15.02</v>
          </cell>
          <cell r="M57">
            <v>120.16</v>
          </cell>
          <cell r="N57" t="str">
            <v>IN</v>
          </cell>
        </row>
        <row r="58">
          <cell r="C58" t="str">
            <v>5BWV-260212-5000</v>
          </cell>
          <cell r="D58" t="str">
            <v>BRACKET, PLASTIC TOP ROOF</v>
          </cell>
          <cell r="E58" t="str">
            <v>SOPORTE PARA TECHO SUPERIOR DE PLASTICO</v>
          </cell>
          <cell r="F58" t="str">
            <v>8708299999</v>
          </cell>
          <cell r="G58" t="str">
            <v xml:space="preserve">Ex. </v>
          </cell>
          <cell r="I58">
            <v>8</v>
          </cell>
          <cell r="J58" t="str">
            <v>PZA</v>
          </cell>
          <cell r="K58">
            <v>8.8000000000000007</v>
          </cell>
          <cell r="L58">
            <v>2.4700000000000002</v>
          </cell>
          <cell r="M58">
            <v>19.760000000000002</v>
          </cell>
          <cell r="N58" t="str">
            <v>IN</v>
          </cell>
        </row>
        <row r="59">
          <cell r="C59" t="str">
            <v>5BWV-270300-5000</v>
          </cell>
          <cell r="D59" t="str">
            <v>FRONT CV DRIVE SHAFT</v>
          </cell>
          <cell r="E59" t="str">
            <v>EJE DE TRANSMISION</v>
          </cell>
          <cell r="F59" t="str">
            <v>8708509999</v>
          </cell>
          <cell r="G59" t="str">
            <v>3 Únicamente: Fundas para ejes traseros; flechas semiejes, acoplables al mecanismo diferencial, incluso las de velocidad constante (homocinéticas) y sus partes componentes; juntas universales, tipo cardán para cruceta; ejes cardánicos.</v>
          </cell>
          <cell r="H59" t="str">
            <v>1931R825050423</v>
          </cell>
          <cell r="I59">
            <v>96</v>
          </cell>
          <cell r="J59" t="str">
            <v>PZA</v>
          </cell>
          <cell r="K59">
            <v>432.96</v>
          </cell>
          <cell r="L59">
            <v>21.76</v>
          </cell>
          <cell r="M59">
            <v>2088.96</v>
          </cell>
          <cell r="N59" t="str">
            <v>IN</v>
          </cell>
        </row>
        <row r="60">
          <cell r="C60" t="str">
            <v>5BWV-320100-5000</v>
          </cell>
          <cell r="D60" t="str">
            <v>GEARSHIFT CABLE</v>
          </cell>
          <cell r="E60" t="str">
            <v>CHICOTE ARBOL FLEXIBLE</v>
          </cell>
          <cell r="F60" t="str">
            <v>8483100804</v>
          </cell>
          <cell r="I60">
            <v>48</v>
          </cell>
          <cell r="J60" t="str">
            <v>PZA</v>
          </cell>
          <cell r="K60">
            <v>6.24</v>
          </cell>
          <cell r="L60">
            <v>4.0599999999999996</v>
          </cell>
          <cell r="M60">
            <v>194.88</v>
          </cell>
          <cell r="N60" t="str">
            <v>IN</v>
          </cell>
        </row>
        <row r="61">
          <cell r="C61" t="str">
            <v>5BWV-321000-5900</v>
          </cell>
          <cell r="D61" t="str">
            <v>GEARSHIFT ASSY</v>
          </cell>
          <cell r="E61" t="str">
            <v>PALANCA DE CAMBIOS</v>
          </cell>
          <cell r="F61" t="str">
            <v>8708999999</v>
          </cell>
          <cell r="I61">
            <v>48</v>
          </cell>
          <cell r="J61" t="str">
            <v>PZA</v>
          </cell>
          <cell r="K61">
            <v>29.567999999999998</v>
          </cell>
          <cell r="L61">
            <v>5.59</v>
          </cell>
          <cell r="M61">
            <v>268.32</v>
          </cell>
          <cell r="N61" t="str">
            <v>IN</v>
          </cell>
        </row>
        <row r="62">
          <cell r="C62" t="str">
            <v>5BWV-341100-5000</v>
          </cell>
          <cell r="D62" t="str">
            <v>DRIVER SEAT BELT ASSY</v>
          </cell>
          <cell r="E62" t="str">
            <v>CINTURON DE SEGURIDAD</v>
          </cell>
          <cell r="F62" t="str">
            <v>8708210100</v>
          </cell>
          <cell r="I62">
            <v>48</v>
          </cell>
          <cell r="J62" t="str">
            <v>PZA</v>
          </cell>
          <cell r="K62">
            <v>64.800000000000011</v>
          </cell>
          <cell r="L62">
            <v>26.09</v>
          </cell>
          <cell r="M62">
            <v>1252.32</v>
          </cell>
          <cell r="N62" t="str">
            <v>IN</v>
          </cell>
        </row>
        <row r="63">
          <cell r="C63" t="str">
            <v>5BYV-021300-7000</v>
          </cell>
          <cell r="D63" t="str">
            <v>MUFFLER ASSY</v>
          </cell>
          <cell r="E63" t="str">
            <v>SILENCIADOR</v>
          </cell>
          <cell r="F63" t="str">
            <v>8708920399</v>
          </cell>
          <cell r="I63">
            <v>36</v>
          </cell>
          <cell r="J63" t="str">
            <v>PZA</v>
          </cell>
          <cell r="K63">
            <v>307.08</v>
          </cell>
          <cell r="L63">
            <v>63.42</v>
          </cell>
          <cell r="M63">
            <v>2283.12</v>
          </cell>
          <cell r="N63" t="str">
            <v>IN</v>
          </cell>
        </row>
        <row r="64">
          <cell r="C64" t="str">
            <v>5BYV-160111-9600</v>
          </cell>
          <cell r="D64" t="str">
            <v>LH HEADLIGHT</v>
          </cell>
          <cell r="E64" t="str">
            <v>FARO IZQUIERDO</v>
          </cell>
          <cell r="F64" t="str">
            <v>8512209900</v>
          </cell>
          <cell r="G64" t="str">
            <v xml:space="preserve">Ex. </v>
          </cell>
          <cell r="I64">
            <v>8</v>
          </cell>
          <cell r="J64" t="str">
            <v>PZA</v>
          </cell>
          <cell r="K64">
            <v>15.087999999999999</v>
          </cell>
          <cell r="L64">
            <v>54.89</v>
          </cell>
          <cell r="M64">
            <v>439.12</v>
          </cell>
          <cell r="N64" t="str">
            <v>IN</v>
          </cell>
        </row>
        <row r="65">
          <cell r="C65" t="str">
            <v>TBQ381</v>
          </cell>
          <cell r="D65" t="str">
            <v>FRAME</v>
          </cell>
          <cell r="E65" t="str">
            <v>EMBALAJE METALICO</v>
          </cell>
          <cell r="F65" t="str">
            <v>7326909999</v>
          </cell>
          <cell r="I65">
            <v>8</v>
          </cell>
          <cell r="J65" t="str">
            <v>PZA</v>
          </cell>
          <cell r="K65">
            <v>204</v>
          </cell>
          <cell r="L65">
            <v>5.21</v>
          </cell>
          <cell r="M65">
            <v>41.68</v>
          </cell>
          <cell r="N65" t="str">
            <v>A1</v>
          </cell>
        </row>
        <row r="66">
          <cell r="C66" t="str">
            <v>TBQ381-3</v>
          </cell>
          <cell r="D66" t="str">
            <v>Packing iron rack accessories-3</v>
          </cell>
          <cell r="E66" t="str">
            <v>SOPORTE DE MONTAJE DE LA BARRA SUPERIOR DELANTERA I</v>
          </cell>
          <cell r="F66" t="str">
            <v>8708299999</v>
          </cell>
          <cell r="G66" t="str">
            <v xml:space="preserve">Ex. </v>
          </cell>
          <cell r="I66">
            <v>48</v>
          </cell>
          <cell r="J66" t="str">
            <v>PZA</v>
          </cell>
          <cell r="K66">
            <v>81.12</v>
          </cell>
          <cell r="L66">
            <v>0.03</v>
          </cell>
          <cell r="M66">
            <v>1.44</v>
          </cell>
          <cell r="N66" t="str">
            <v>A1</v>
          </cell>
        </row>
        <row r="67">
          <cell r="C67" t="str">
            <v>TBQ381-4</v>
          </cell>
          <cell r="D67" t="str">
            <v>Packing iron rack accessories-4</v>
          </cell>
          <cell r="E67" t="str">
            <v>SOPORTE DE MONTAJE DE LA BARRA SUPERIOR DELANTERA II</v>
          </cell>
          <cell r="F67" t="str">
            <v>8708299999</v>
          </cell>
          <cell r="G67" t="str">
            <v xml:space="preserve">Ex. </v>
          </cell>
          <cell r="I67">
            <v>96</v>
          </cell>
          <cell r="J67" t="str">
            <v>PZA</v>
          </cell>
          <cell r="K67">
            <v>39.36</v>
          </cell>
          <cell r="L67">
            <v>0.02</v>
          </cell>
          <cell r="M67">
            <v>1.92</v>
          </cell>
          <cell r="N67" t="str">
            <v>A1</v>
          </cell>
        </row>
        <row r="68">
          <cell r="C68" t="str">
            <v>TBQ381-6</v>
          </cell>
          <cell r="D68" t="str">
            <v>Packing iron rack accessories-6</v>
          </cell>
          <cell r="E68" t="str">
            <v>SOPORTE DE FIJACION DEL PARACHOQUES DELANTERO</v>
          </cell>
          <cell r="F68" t="str">
            <v>8708299999</v>
          </cell>
          <cell r="G68" t="str">
            <v xml:space="preserve">Ex. </v>
          </cell>
          <cell r="I68">
            <v>96</v>
          </cell>
          <cell r="J68" t="str">
            <v>PZA</v>
          </cell>
          <cell r="K68">
            <v>49.92</v>
          </cell>
          <cell r="L68">
            <v>0.02</v>
          </cell>
          <cell r="M68">
            <v>1.92</v>
          </cell>
          <cell r="N68" t="str">
            <v>A1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4" zoomScale="55" zoomScaleNormal="55" workbookViewId="0">
      <selection activeCell="A18" sqref="A18:XFD18"/>
    </sheetView>
  </sheetViews>
  <sheetFormatPr baseColWidth="10" defaultColWidth="10.1640625" defaultRowHeight="15" x14ac:dyDescent="0.2"/>
  <cols>
    <col min="1" max="1" width="24.83203125" customWidth="1"/>
    <col min="2" max="2" width="18.5" customWidth="1"/>
    <col min="3" max="3" width="25.83203125" customWidth="1"/>
    <col min="4" max="4" width="45.6640625" customWidth="1"/>
    <col min="5" max="5" width="15.83203125" customWidth="1"/>
    <col min="6" max="7" width="16.33203125" customWidth="1"/>
    <col min="8" max="8" width="9.6640625" customWidth="1"/>
    <col min="9" max="9" width="32.83203125" customWidth="1"/>
    <col min="10" max="10" width="8" customWidth="1"/>
    <col min="11" max="11" width="11.83203125" customWidth="1"/>
    <col min="12" max="12" width="14.5" customWidth="1"/>
    <col min="13" max="13" width="19" customWidth="1"/>
    <col min="14" max="15" width="9.6640625" customWidth="1"/>
  </cols>
  <sheetData>
    <row r="1" spans="1:14" ht="23.5" customHeight="1" x14ac:dyDescent="0.2">
      <c r="A1" s="13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 ht="15.75" customHeight="1" x14ac:dyDescent="0.2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</row>
    <row r="3" spans="1:14" ht="15.75" customHeight="1" x14ac:dyDescent="0.2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</row>
    <row r="4" spans="1:14" ht="15.75" customHeight="1" x14ac:dyDescent="0.2">
      <c r="A4" s="14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 ht="15.75" customHeight="1" x14ac:dyDescent="0.2">
      <c r="A5" s="2"/>
      <c r="N5" s="1"/>
    </row>
    <row r="6" spans="1:14" ht="18.75" customHeight="1" x14ac:dyDescent="0.2">
      <c r="A6" s="15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"/>
    </row>
    <row r="7" spans="1:14" ht="17.25" customHeight="1" x14ac:dyDescent="0.2">
      <c r="N7" s="1"/>
    </row>
    <row r="8" spans="1:14" ht="17.25" customHeight="1" x14ac:dyDescent="0.2">
      <c r="A8" s="11" t="s">
        <v>0</v>
      </c>
      <c r="B8" s="11"/>
      <c r="C8" s="11"/>
      <c r="D8" s="11" t="s">
        <v>1</v>
      </c>
      <c r="E8" s="11"/>
      <c r="F8" s="11"/>
      <c r="I8" s="3" t="s">
        <v>7</v>
      </c>
      <c r="N8" s="1"/>
    </row>
    <row r="9" spans="1:14" ht="15" customHeight="1" x14ac:dyDescent="0.2">
      <c r="A9" s="11"/>
      <c r="B9" s="11"/>
      <c r="C9" s="11"/>
      <c r="D9" s="11"/>
      <c r="E9" s="11"/>
      <c r="F9" s="11"/>
      <c r="I9" s="3" t="s">
        <v>8</v>
      </c>
      <c r="N9" s="1"/>
    </row>
    <row r="10" spans="1:14" ht="15" customHeight="1" x14ac:dyDescent="0.2">
      <c r="A10" s="11"/>
      <c r="B10" s="11"/>
      <c r="C10" s="11"/>
      <c r="D10" s="11"/>
      <c r="E10" s="11"/>
      <c r="F10" s="11"/>
      <c r="I10" s="3" t="s">
        <v>9</v>
      </c>
      <c r="N10" s="1"/>
    </row>
    <row r="11" spans="1:14" ht="15" customHeight="1" x14ac:dyDescent="0.2">
      <c r="A11" s="11"/>
      <c r="B11" s="11"/>
      <c r="C11" s="11"/>
      <c r="D11" s="11"/>
      <c r="E11" s="11"/>
      <c r="F11" s="11"/>
      <c r="I11" s="3" t="s">
        <v>10</v>
      </c>
      <c r="N11" s="1"/>
    </row>
    <row r="12" spans="1:14" ht="15" customHeight="1" x14ac:dyDescent="0.2">
      <c r="A12" s="11"/>
      <c r="B12" s="11"/>
      <c r="C12" s="11"/>
      <c r="D12" s="11"/>
      <c r="E12" s="11"/>
      <c r="F12" s="11"/>
      <c r="I12" s="3" t="s">
        <v>11</v>
      </c>
      <c r="N12" s="1"/>
    </row>
    <row r="13" spans="1:14" ht="15" customHeight="1" x14ac:dyDescent="0.2">
      <c r="A13" s="11"/>
      <c r="B13" s="11"/>
      <c r="C13" s="11"/>
      <c r="D13" s="11"/>
      <c r="E13" s="11"/>
      <c r="F13" s="11"/>
      <c r="N13" s="1"/>
    </row>
    <row r="14" spans="1:14" ht="15" customHeight="1" x14ac:dyDescent="0.2">
      <c r="A14" s="11"/>
      <c r="B14" s="11"/>
      <c r="C14" s="11"/>
      <c r="D14" s="11"/>
      <c r="E14" s="11"/>
      <c r="F14" s="11"/>
      <c r="N14" s="1"/>
    </row>
    <row r="15" spans="1:14" ht="14.25" customHeight="1" x14ac:dyDescent="0.2">
      <c r="A15" s="3" t="s">
        <v>12</v>
      </c>
      <c r="N15" s="1"/>
    </row>
    <row r="16" spans="1:14" ht="15" customHeight="1" x14ac:dyDescent="0.2">
      <c r="A16" s="3" t="s">
        <v>13</v>
      </c>
      <c r="N16" s="1"/>
    </row>
    <row r="17" spans="1:14" ht="14.25" customHeight="1" x14ac:dyDescent="0.2">
      <c r="A17" s="2"/>
      <c r="N17" s="1"/>
    </row>
    <row r="18" spans="1:14" ht="31" customHeight="1" x14ac:dyDescent="0.2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spans="1:14" ht="25.75" customHeight="1" x14ac:dyDescent="0.2">
      <c r="A19" s="5">
        <v>1</v>
      </c>
      <c r="B19" s="5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/>
      <c r="H19" s="6"/>
      <c r="I19" s="5">
        <v>48</v>
      </c>
      <c r="J19" s="5" t="s">
        <v>33</v>
      </c>
      <c r="K19" s="6">
        <f>VLOOKUP(C19,[1]sheet1!$C$18:$N$68,9,0)</f>
        <v>30.672000000000001</v>
      </c>
      <c r="L19" s="5">
        <v>12.76</v>
      </c>
      <c r="M19" s="7">
        <v>612.48</v>
      </c>
      <c r="N19" s="5" t="str">
        <f>VLOOKUP(C19,[1]sheet1!$C$18:$N$68,12,0)</f>
        <v>IN</v>
      </c>
    </row>
    <row r="20" spans="1:14" ht="25.75" customHeight="1" x14ac:dyDescent="0.2">
      <c r="A20" s="5">
        <v>2</v>
      </c>
      <c r="B20" s="5" t="s">
        <v>28</v>
      </c>
      <c r="C20" s="6" t="s">
        <v>34</v>
      </c>
      <c r="D20" s="6" t="s">
        <v>35</v>
      </c>
      <c r="E20" s="6" t="s">
        <v>36</v>
      </c>
      <c r="F20" s="6" t="s">
        <v>37</v>
      </c>
      <c r="G20" s="6" t="s">
        <v>38</v>
      </c>
      <c r="H20" s="6"/>
      <c r="I20" s="5">
        <v>48</v>
      </c>
      <c r="J20" s="5" t="s">
        <v>33</v>
      </c>
      <c r="K20" s="6">
        <f>VLOOKUP(C20,[1]sheet1!$C$18:$N$68,9,0)</f>
        <v>5.6639999999999997</v>
      </c>
      <c r="L20" s="5">
        <v>4.09</v>
      </c>
      <c r="M20" s="7">
        <v>196.32</v>
      </c>
      <c r="N20" s="5" t="str">
        <f>VLOOKUP(C20,[1]sheet1!$C$18:$N$68,12,0)</f>
        <v>IN</v>
      </c>
    </row>
    <row r="21" spans="1:14" ht="21.75" customHeight="1" x14ac:dyDescent="0.2">
      <c r="A21" s="5">
        <v>3</v>
      </c>
      <c r="B21" s="5" t="s">
        <v>28</v>
      </c>
      <c r="C21" s="6" t="s">
        <v>39</v>
      </c>
      <c r="D21" s="6" t="s">
        <v>40</v>
      </c>
      <c r="E21" s="6" t="s">
        <v>41</v>
      </c>
      <c r="F21" s="6" t="s">
        <v>42</v>
      </c>
      <c r="G21" s="6" t="s">
        <v>43</v>
      </c>
      <c r="H21" s="6"/>
      <c r="I21" s="5">
        <v>8</v>
      </c>
      <c r="J21" s="5" t="s">
        <v>33</v>
      </c>
      <c r="K21" s="6">
        <f>VLOOKUP(C21,[1]sheet1!$C$18:$N$68,9,0)</f>
        <v>689.6</v>
      </c>
      <c r="L21" s="5">
        <v>295.12</v>
      </c>
      <c r="M21" s="7">
        <v>2360.96</v>
      </c>
      <c r="N21" s="5" t="str">
        <f>VLOOKUP(C21,[1]sheet1!$C$18:$N$68,12,0)</f>
        <v>IN</v>
      </c>
    </row>
    <row r="22" spans="1:14" ht="25.75" customHeight="1" x14ac:dyDescent="0.2">
      <c r="A22" s="5">
        <v>4</v>
      </c>
      <c r="B22" s="5" t="s">
        <v>28</v>
      </c>
      <c r="C22" s="6" t="s">
        <v>44</v>
      </c>
      <c r="D22" s="6" t="s">
        <v>45</v>
      </c>
      <c r="E22" s="6" t="s">
        <v>46</v>
      </c>
      <c r="F22" s="6" t="s">
        <v>47</v>
      </c>
      <c r="G22" s="6" t="s">
        <v>38</v>
      </c>
      <c r="H22" s="6"/>
      <c r="I22" s="5">
        <v>8</v>
      </c>
      <c r="J22" s="5" t="s">
        <v>33</v>
      </c>
      <c r="K22" s="6">
        <f>VLOOKUP(C22,[1]sheet1!$C$18:$N$68,9,0)</f>
        <v>0.04</v>
      </c>
      <c r="L22" s="5">
        <v>1.71</v>
      </c>
      <c r="M22" s="7">
        <v>13.68</v>
      </c>
      <c r="N22" s="5" t="str">
        <f>VLOOKUP(C22,[1]sheet1!$C$18:$N$68,12,0)</f>
        <v>IN</v>
      </c>
    </row>
    <row r="23" spans="1:14" ht="38.5" customHeight="1" x14ac:dyDescent="0.2">
      <c r="A23" s="5">
        <v>5</v>
      </c>
      <c r="B23" s="5" t="s">
        <v>28</v>
      </c>
      <c r="C23" s="6" t="s">
        <v>48</v>
      </c>
      <c r="D23" s="6" t="s">
        <v>49</v>
      </c>
      <c r="E23" s="6" t="s">
        <v>50</v>
      </c>
      <c r="F23" s="6" t="s">
        <v>51</v>
      </c>
      <c r="G23" s="6"/>
      <c r="H23" s="6" t="s">
        <v>52</v>
      </c>
      <c r="I23" s="5">
        <v>8</v>
      </c>
      <c r="J23" s="5" t="s">
        <v>33</v>
      </c>
      <c r="K23" s="6">
        <f>VLOOKUP(C23,[1]sheet1!$C$18:$N$68,9,0)</f>
        <v>6.4000000000000001E-2</v>
      </c>
      <c r="L23" s="5">
        <v>4.8499999999999996</v>
      </c>
      <c r="M23" s="7">
        <v>38.799999999999997</v>
      </c>
      <c r="N23" s="5" t="str">
        <f>VLOOKUP(C23,[1]sheet1!$C$18:$N$68,12,0)</f>
        <v>IN</v>
      </c>
    </row>
    <row r="24" spans="1:14" ht="25.75" customHeight="1" x14ac:dyDescent="0.2">
      <c r="A24" s="5">
        <v>6</v>
      </c>
      <c r="B24" s="5" t="s">
        <v>28</v>
      </c>
      <c r="C24" s="6" t="s">
        <v>53</v>
      </c>
      <c r="D24" s="6" t="s">
        <v>54</v>
      </c>
      <c r="E24" s="6" t="s">
        <v>46</v>
      </c>
      <c r="F24" s="6" t="s">
        <v>47</v>
      </c>
      <c r="G24" s="6" t="s">
        <v>38</v>
      </c>
      <c r="H24" s="6"/>
      <c r="I24" s="5">
        <v>8</v>
      </c>
      <c r="J24" s="5" t="s">
        <v>33</v>
      </c>
      <c r="K24" s="6">
        <f>VLOOKUP(C24,[1]sheet1!$C$18:$N$68,9,0)</f>
        <v>12</v>
      </c>
      <c r="L24" s="5">
        <v>3.25</v>
      </c>
      <c r="M24" s="7">
        <v>26</v>
      </c>
      <c r="N24" s="5" t="str">
        <f>VLOOKUP(C24,[1]sheet1!$C$18:$N$68,12,0)</f>
        <v>IN</v>
      </c>
    </row>
    <row r="25" spans="1:14" ht="25.75" customHeight="1" x14ac:dyDescent="0.2">
      <c r="A25" s="5">
        <v>7</v>
      </c>
      <c r="B25" s="5" t="s">
        <v>28</v>
      </c>
      <c r="C25" s="6" t="s">
        <v>55</v>
      </c>
      <c r="D25" s="6" t="s">
        <v>56</v>
      </c>
      <c r="E25" s="6" t="s">
        <v>46</v>
      </c>
      <c r="F25" s="6" t="s">
        <v>57</v>
      </c>
      <c r="G25" s="6" t="s">
        <v>38</v>
      </c>
      <c r="H25" s="6"/>
      <c r="I25" s="5">
        <v>7</v>
      </c>
      <c r="J25" s="5" t="s">
        <v>33</v>
      </c>
      <c r="K25" s="6">
        <f>VLOOKUP(C25,[1]sheet1!$C$18:$N$68,9,0)</f>
        <v>2.8559999999999999</v>
      </c>
      <c r="L25" s="5">
        <v>14.04</v>
      </c>
      <c r="M25" s="7">
        <v>98.28</v>
      </c>
      <c r="N25" s="5" t="str">
        <f>VLOOKUP(C25,[1]sheet1!$C$18:$N$68,12,0)</f>
        <v>IN</v>
      </c>
    </row>
    <row r="26" spans="1:14" ht="25.75" customHeight="1" x14ac:dyDescent="0.2">
      <c r="A26" s="5">
        <v>8</v>
      </c>
      <c r="B26" s="5" t="s">
        <v>28</v>
      </c>
      <c r="C26" s="6" t="s">
        <v>58</v>
      </c>
      <c r="D26" s="6" t="s">
        <v>56</v>
      </c>
      <c r="E26" s="6" t="s">
        <v>59</v>
      </c>
      <c r="F26" s="6" t="s">
        <v>57</v>
      </c>
      <c r="G26" s="6" t="s">
        <v>38</v>
      </c>
      <c r="H26" s="6"/>
      <c r="I26" s="5">
        <v>1</v>
      </c>
      <c r="J26" s="5" t="s">
        <v>33</v>
      </c>
      <c r="K26" s="6">
        <f>VLOOKUP(C26,[1]sheet1!$C$18:$N$68,9,0)</f>
        <v>1.524</v>
      </c>
      <c r="L26" s="5">
        <v>14.02</v>
      </c>
      <c r="M26" s="7">
        <v>14.02</v>
      </c>
      <c r="N26" s="5" t="str">
        <f>VLOOKUP(C26,[1]sheet1!$C$18:$N$68,12,0)</f>
        <v>IN</v>
      </c>
    </row>
    <row r="27" spans="1:14" ht="25.75" customHeight="1" x14ac:dyDescent="0.2">
      <c r="A27" s="5">
        <v>9</v>
      </c>
      <c r="B27" s="5" t="s">
        <v>28</v>
      </c>
      <c r="C27" s="6" t="s">
        <v>60</v>
      </c>
      <c r="D27" s="6" t="s">
        <v>61</v>
      </c>
      <c r="E27" s="6" t="s">
        <v>46</v>
      </c>
      <c r="F27" s="6" t="s">
        <v>57</v>
      </c>
      <c r="G27" s="6" t="s">
        <v>38</v>
      </c>
      <c r="H27" s="6"/>
      <c r="I27" s="5">
        <v>8</v>
      </c>
      <c r="J27" s="5" t="s">
        <v>33</v>
      </c>
      <c r="K27" s="6">
        <f>VLOOKUP(C27,[1]sheet1!$C$18:$N$68,9,0)</f>
        <v>7.4480000000000004</v>
      </c>
      <c r="L27" s="5">
        <v>2.4500000000000002</v>
      </c>
      <c r="M27" s="7">
        <v>19.600000000000001</v>
      </c>
      <c r="N27" s="5" t="str">
        <f>VLOOKUP(C27,[1]sheet1!$C$18:$N$68,12,0)</f>
        <v>IN</v>
      </c>
    </row>
    <row r="28" spans="1:14" ht="25.75" customHeight="1" x14ac:dyDescent="0.2">
      <c r="A28" s="5">
        <v>10</v>
      </c>
      <c r="B28" s="5" t="s">
        <v>28</v>
      </c>
      <c r="C28" s="6" t="s">
        <v>62</v>
      </c>
      <c r="D28" s="6" t="s">
        <v>63</v>
      </c>
      <c r="E28" s="6" t="s">
        <v>46</v>
      </c>
      <c r="F28" s="6" t="s">
        <v>57</v>
      </c>
      <c r="G28" s="6" t="s">
        <v>38</v>
      </c>
      <c r="H28" s="6"/>
      <c r="I28" s="5">
        <v>8</v>
      </c>
      <c r="J28" s="5" t="s">
        <v>33</v>
      </c>
      <c r="K28" s="6">
        <f>VLOOKUP(C28,[1]sheet1!$C$18:$N$68,9,0)</f>
        <v>7.4480000000000004</v>
      </c>
      <c r="L28" s="5">
        <v>2.4300000000000002</v>
      </c>
      <c r="M28" s="7">
        <v>19.440000000000001</v>
      </c>
      <c r="N28" s="5" t="str">
        <f>VLOOKUP(C28,[1]sheet1!$C$18:$N$68,12,0)</f>
        <v>IN</v>
      </c>
    </row>
    <row r="29" spans="1:14" ht="25.75" customHeight="1" x14ac:dyDescent="0.2">
      <c r="A29" s="5">
        <v>11</v>
      </c>
      <c r="B29" s="5" t="s">
        <v>28</v>
      </c>
      <c r="C29" s="6" t="s">
        <v>64</v>
      </c>
      <c r="D29" s="6" t="s">
        <v>65</v>
      </c>
      <c r="E29" s="6" t="s">
        <v>66</v>
      </c>
      <c r="F29" s="6" t="s">
        <v>67</v>
      </c>
      <c r="G29" s="6"/>
      <c r="H29" s="6"/>
      <c r="I29" s="5">
        <v>8</v>
      </c>
      <c r="J29" s="5" t="s">
        <v>33</v>
      </c>
      <c r="K29" s="6">
        <f>VLOOKUP(C29,[1]sheet1!$C$18:$N$68,9,0)</f>
        <v>5.4</v>
      </c>
      <c r="L29" s="5">
        <v>2.3199999999999998</v>
      </c>
      <c r="M29" s="7">
        <v>18.559999999999999</v>
      </c>
      <c r="N29" s="5" t="str">
        <f>VLOOKUP(C29,[1]sheet1!$C$18:$N$68,12,0)</f>
        <v>IN</v>
      </c>
    </row>
    <row r="30" spans="1:14" ht="25.75" customHeight="1" x14ac:dyDescent="0.2">
      <c r="A30" s="5">
        <v>12</v>
      </c>
      <c r="B30" s="5" t="s">
        <v>28</v>
      </c>
      <c r="C30" s="6" t="s">
        <v>68</v>
      </c>
      <c r="D30" s="6" t="s">
        <v>69</v>
      </c>
      <c r="E30" s="6" t="s">
        <v>66</v>
      </c>
      <c r="F30" s="6" t="s">
        <v>67</v>
      </c>
      <c r="G30" s="6"/>
      <c r="H30" s="6"/>
      <c r="I30" s="5">
        <v>19</v>
      </c>
      <c r="J30" s="5" t="s">
        <v>33</v>
      </c>
      <c r="K30" s="6">
        <f>VLOOKUP(C30,[1]sheet1!$C$18:$N$68,9,0)</f>
        <v>12.825000000000001</v>
      </c>
      <c r="L30" s="5">
        <v>2.2999999999999998</v>
      </c>
      <c r="M30" s="7">
        <v>43.7</v>
      </c>
      <c r="N30" s="5" t="str">
        <f>VLOOKUP(C30,[1]sheet1!$C$18:$N$68,12,0)</f>
        <v>IN</v>
      </c>
    </row>
    <row r="31" spans="1:14" ht="38.5" customHeight="1" x14ac:dyDescent="0.2">
      <c r="A31" s="5">
        <v>13</v>
      </c>
      <c r="B31" s="5" t="s">
        <v>28</v>
      </c>
      <c r="C31" s="6" t="s">
        <v>70</v>
      </c>
      <c r="D31" s="6" t="s">
        <v>71</v>
      </c>
      <c r="E31" s="6" t="s">
        <v>72</v>
      </c>
      <c r="F31" s="6" t="s">
        <v>73</v>
      </c>
      <c r="G31" s="6" t="s">
        <v>38</v>
      </c>
      <c r="H31" s="6"/>
      <c r="I31" s="5">
        <v>8</v>
      </c>
      <c r="J31" s="5" t="s">
        <v>33</v>
      </c>
      <c r="K31" s="6">
        <f>VLOOKUP(C31,[1]sheet1!$C$18:$N$68,9,0)</f>
        <v>14.288</v>
      </c>
      <c r="L31" s="5">
        <v>3.58</v>
      </c>
      <c r="M31" s="7">
        <v>28.64</v>
      </c>
      <c r="N31" s="5" t="str">
        <f>VLOOKUP(C31,[1]sheet1!$C$18:$N$68,12,0)</f>
        <v>IN</v>
      </c>
    </row>
    <row r="32" spans="1:14" ht="21.75" customHeight="1" x14ac:dyDescent="0.2">
      <c r="A32" s="5">
        <v>14</v>
      </c>
      <c r="B32" s="5" t="s">
        <v>28</v>
      </c>
      <c r="C32" s="6" t="s">
        <v>74</v>
      </c>
      <c r="D32" s="6" t="s">
        <v>75</v>
      </c>
      <c r="E32" s="6" t="s">
        <v>76</v>
      </c>
      <c r="F32" s="6" t="s">
        <v>77</v>
      </c>
      <c r="G32" s="6" t="s">
        <v>38</v>
      </c>
      <c r="H32" s="6"/>
      <c r="I32" s="5">
        <v>8</v>
      </c>
      <c r="J32" s="5" t="s">
        <v>33</v>
      </c>
      <c r="K32" s="6">
        <f>VLOOKUP(C32,[1]sheet1!$C$18:$N$68,9,0)</f>
        <v>1.8720000000000001</v>
      </c>
      <c r="L32" s="5">
        <v>3.71</v>
      </c>
      <c r="M32" s="7">
        <v>29.68</v>
      </c>
      <c r="N32" s="5" t="str">
        <f>VLOOKUP(C32,[1]sheet1!$C$18:$N$68,12,0)</f>
        <v>IN</v>
      </c>
    </row>
    <row r="33" spans="1:14" ht="25.75" customHeight="1" x14ac:dyDescent="0.2">
      <c r="A33" s="5">
        <v>15</v>
      </c>
      <c r="B33" s="5" t="s">
        <v>28</v>
      </c>
      <c r="C33" s="6" t="s">
        <v>78</v>
      </c>
      <c r="D33" s="6" t="s">
        <v>79</v>
      </c>
      <c r="E33" s="6" t="s">
        <v>80</v>
      </c>
      <c r="F33" s="6" t="s">
        <v>57</v>
      </c>
      <c r="G33" s="6" t="s">
        <v>38</v>
      </c>
      <c r="H33" s="6"/>
      <c r="I33" s="5">
        <v>8</v>
      </c>
      <c r="J33" s="5" t="s">
        <v>33</v>
      </c>
      <c r="K33" s="6">
        <f>VLOOKUP(C33,[1]sheet1!$C$18:$N$68,9,0)</f>
        <v>1.2</v>
      </c>
      <c r="L33" s="5">
        <v>3.44</v>
      </c>
      <c r="M33" s="7">
        <v>27.52</v>
      </c>
      <c r="N33" s="5" t="str">
        <f>VLOOKUP(C33,[1]sheet1!$C$18:$N$68,12,0)</f>
        <v>IN</v>
      </c>
    </row>
    <row r="34" spans="1:14" ht="38.5" customHeight="1" x14ac:dyDescent="0.2">
      <c r="A34" s="5">
        <v>16</v>
      </c>
      <c r="B34" s="5" t="s">
        <v>28</v>
      </c>
      <c r="C34" s="6" t="s">
        <v>81</v>
      </c>
      <c r="D34" s="6" t="s">
        <v>82</v>
      </c>
      <c r="E34" s="6" t="s">
        <v>72</v>
      </c>
      <c r="F34" s="6" t="s">
        <v>73</v>
      </c>
      <c r="G34" s="6" t="s">
        <v>38</v>
      </c>
      <c r="H34" s="6"/>
      <c r="I34" s="5">
        <v>8</v>
      </c>
      <c r="J34" s="5" t="s">
        <v>33</v>
      </c>
      <c r="K34" s="6">
        <f>VLOOKUP(C34,[1]sheet1!$C$18:$N$68,9,0)</f>
        <v>20.904</v>
      </c>
      <c r="L34" s="5">
        <v>6.01</v>
      </c>
      <c r="M34" s="7">
        <v>48.08</v>
      </c>
      <c r="N34" s="5" t="str">
        <f>VLOOKUP(C34,[1]sheet1!$C$18:$N$68,12,0)</f>
        <v>IN</v>
      </c>
    </row>
    <row r="35" spans="1:14" ht="25.75" customHeight="1" x14ac:dyDescent="0.2">
      <c r="A35" s="5">
        <v>17</v>
      </c>
      <c r="B35" s="5" t="s">
        <v>28</v>
      </c>
      <c r="C35" s="6" t="s">
        <v>83</v>
      </c>
      <c r="D35" s="6" t="s">
        <v>84</v>
      </c>
      <c r="E35" s="6" t="s">
        <v>46</v>
      </c>
      <c r="F35" s="6" t="s">
        <v>57</v>
      </c>
      <c r="G35" s="6" t="s">
        <v>38</v>
      </c>
      <c r="H35" s="6"/>
      <c r="I35" s="5">
        <v>8</v>
      </c>
      <c r="J35" s="5" t="s">
        <v>33</v>
      </c>
      <c r="K35" s="6">
        <f>VLOOKUP(C35,[1]sheet1!$C$18:$N$68,9,0)</f>
        <v>1.2</v>
      </c>
      <c r="L35" s="5">
        <v>2.93</v>
      </c>
      <c r="M35" s="7">
        <v>23.44</v>
      </c>
      <c r="N35" s="5" t="str">
        <f>VLOOKUP(C35,[1]sheet1!$C$18:$N$68,12,0)</f>
        <v>IN</v>
      </c>
    </row>
    <row r="36" spans="1:14" ht="21.75" customHeight="1" x14ac:dyDescent="0.2">
      <c r="A36" s="5">
        <v>18</v>
      </c>
      <c r="B36" s="5" t="s">
        <v>28</v>
      </c>
      <c r="C36" s="6" t="s">
        <v>85</v>
      </c>
      <c r="D36" s="6" t="s">
        <v>86</v>
      </c>
      <c r="E36" s="6" t="s">
        <v>87</v>
      </c>
      <c r="F36" s="6" t="s">
        <v>57</v>
      </c>
      <c r="G36" s="6" t="s">
        <v>38</v>
      </c>
      <c r="H36" s="6"/>
      <c r="I36" s="5">
        <v>8</v>
      </c>
      <c r="J36" s="5" t="s">
        <v>33</v>
      </c>
      <c r="K36" s="6">
        <f>VLOOKUP(C36,[1]sheet1!$C$18:$N$68,9,0)</f>
        <v>7.1999999999999995E-2</v>
      </c>
      <c r="L36" s="5">
        <v>3.58</v>
      </c>
      <c r="M36" s="7">
        <v>28.64</v>
      </c>
      <c r="N36" s="5" t="str">
        <f>VLOOKUP(C36,[1]sheet1!$C$18:$N$68,12,0)</f>
        <v>IN</v>
      </c>
    </row>
    <row r="37" spans="1:14" ht="21.75" customHeight="1" x14ac:dyDescent="0.2">
      <c r="A37" s="5">
        <v>19</v>
      </c>
      <c r="B37" s="5" t="s">
        <v>28</v>
      </c>
      <c r="C37" s="6" t="s">
        <v>88</v>
      </c>
      <c r="D37" s="6" t="s">
        <v>89</v>
      </c>
      <c r="E37" s="6" t="s">
        <v>87</v>
      </c>
      <c r="F37" s="6" t="s">
        <v>57</v>
      </c>
      <c r="G37" s="6" t="s">
        <v>38</v>
      </c>
      <c r="H37" s="6"/>
      <c r="I37" s="5">
        <v>8</v>
      </c>
      <c r="J37" s="5" t="s">
        <v>33</v>
      </c>
      <c r="K37" s="6">
        <f>VLOOKUP(C37,[1]sheet1!$C$18:$N$68,9,0)</f>
        <v>8.1920000000000002</v>
      </c>
      <c r="L37" s="5">
        <v>10.78</v>
      </c>
      <c r="M37" s="7">
        <v>86.24</v>
      </c>
      <c r="N37" s="5" t="str">
        <f>VLOOKUP(C37,[1]sheet1!$C$18:$N$68,12,0)</f>
        <v>IN</v>
      </c>
    </row>
    <row r="38" spans="1:14" ht="25.75" customHeight="1" x14ac:dyDescent="0.2">
      <c r="A38" s="5">
        <v>20</v>
      </c>
      <c r="B38" s="5" t="s">
        <v>28</v>
      </c>
      <c r="C38" s="6" t="s">
        <v>90</v>
      </c>
      <c r="D38" s="6" t="s">
        <v>91</v>
      </c>
      <c r="E38" s="6" t="s">
        <v>46</v>
      </c>
      <c r="F38" s="6" t="s">
        <v>57</v>
      </c>
      <c r="G38" s="6" t="s">
        <v>38</v>
      </c>
      <c r="H38" s="6"/>
      <c r="I38" s="5">
        <v>8</v>
      </c>
      <c r="J38" s="5" t="s">
        <v>33</v>
      </c>
      <c r="K38" s="6">
        <f>VLOOKUP(C38,[1]sheet1!$C$18:$N$68,9,0)</f>
        <v>2.1680000000000001</v>
      </c>
      <c r="L38" s="5">
        <v>0.86</v>
      </c>
      <c r="M38" s="7">
        <v>6.88</v>
      </c>
      <c r="N38" s="5" t="str">
        <f>VLOOKUP(C38,[1]sheet1!$C$18:$N$68,12,0)</f>
        <v>IN</v>
      </c>
    </row>
    <row r="39" spans="1:14" ht="25.75" customHeight="1" x14ac:dyDescent="0.2">
      <c r="A39" s="5">
        <v>21</v>
      </c>
      <c r="B39" s="5" t="s">
        <v>28</v>
      </c>
      <c r="C39" s="6" t="s">
        <v>92</v>
      </c>
      <c r="D39" s="6" t="s">
        <v>93</v>
      </c>
      <c r="E39" s="6" t="s">
        <v>46</v>
      </c>
      <c r="F39" s="6" t="s">
        <v>47</v>
      </c>
      <c r="G39" s="6" t="s">
        <v>38</v>
      </c>
      <c r="H39" s="6"/>
      <c r="I39" s="5">
        <v>8</v>
      </c>
      <c r="J39" s="5" t="s">
        <v>33</v>
      </c>
      <c r="K39" s="6">
        <f>VLOOKUP(C39,[1]sheet1!$C$18:$N$68,9,0)</f>
        <v>2.08</v>
      </c>
      <c r="L39" s="5">
        <v>8.0500000000000007</v>
      </c>
      <c r="M39" s="7">
        <v>64.400000000000006</v>
      </c>
      <c r="N39" s="5" t="str">
        <f>VLOOKUP(C39,[1]sheet1!$C$18:$N$68,12,0)</f>
        <v>IN</v>
      </c>
    </row>
    <row r="40" spans="1:14" ht="25.75" customHeight="1" x14ac:dyDescent="0.2">
      <c r="A40" s="5">
        <v>22</v>
      </c>
      <c r="B40" s="5" t="s">
        <v>28</v>
      </c>
      <c r="C40" s="6" t="s">
        <v>94</v>
      </c>
      <c r="D40" s="6" t="s">
        <v>95</v>
      </c>
      <c r="E40" s="6" t="s">
        <v>46</v>
      </c>
      <c r="F40" s="6" t="s">
        <v>47</v>
      </c>
      <c r="G40" s="6" t="s">
        <v>38</v>
      </c>
      <c r="H40" s="6"/>
      <c r="I40" s="5">
        <v>8</v>
      </c>
      <c r="J40" s="5" t="s">
        <v>33</v>
      </c>
      <c r="K40" s="6">
        <f>VLOOKUP(C40,[1]sheet1!$C$18:$N$68,9,0)</f>
        <v>1.1839999999999999</v>
      </c>
      <c r="L40" s="5">
        <v>2.61</v>
      </c>
      <c r="M40" s="7">
        <v>20.88</v>
      </c>
      <c r="N40" s="5" t="str">
        <f>VLOOKUP(C40,[1]sheet1!$C$18:$N$68,12,0)</f>
        <v>IN</v>
      </c>
    </row>
    <row r="41" spans="1:14" ht="25.75" customHeight="1" x14ac:dyDescent="0.2">
      <c r="A41" s="5">
        <v>23</v>
      </c>
      <c r="B41" s="5" t="s">
        <v>28</v>
      </c>
      <c r="C41" s="6" t="s">
        <v>96</v>
      </c>
      <c r="D41" s="6" t="s">
        <v>97</v>
      </c>
      <c r="E41" s="6" t="s">
        <v>46</v>
      </c>
      <c r="F41" s="6" t="s">
        <v>47</v>
      </c>
      <c r="G41" s="6" t="s">
        <v>38</v>
      </c>
      <c r="H41" s="6"/>
      <c r="I41" s="5">
        <v>8</v>
      </c>
      <c r="J41" s="5" t="s">
        <v>33</v>
      </c>
      <c r="K41" s="6">
        <f>VLOOKUP(C41,[1]sheet1!$C$18:$N$68,9,0)</f>
        <v>7.24</v>
      </c>
      <c r="L41" s="5">
        <v>11.42</v>
      </c>
      <c r="M41" s="7">
        <v>91.36</v>
      </c>
      <c r="N41" s="5" t="str">
        <f>VLOOKUP(C41,[1]sheet1!$C$18:$N$68,12,0)</f>
        <v>IN</v>
      </c>
    </row>
    <row r="42" spans="1:14" ht="21.75" customHeight="1" x14ac:dyDescent="0.2">
      <c r="A42" s="5">
        <v>24</v>
      </c>
      <c r="B42" s="5" t="s">
        <v>28</v>
      </c>
      <c r="C42" s="6" t="s">
        <v>98</v>
      </c>
      <c r="D42" s="6" t="s">
        <v>99</v>
      </c>
      <c r="E42" s="6" t="s">
        <v>99</v>
      </c>
      <c r="F42" s="6" t="s">
        <v>57</v>
      </c>
      <c r="G42" s="6" t="s">
        <v>38</v>
      </c>
      <c r="H42" s="6"/>
      <c r="I42" s="5">
        <v>8</v>
      </c>
      <c r="J42" s="5" t="s">
        <v>33</v>
      </c>
      <c r="K42" s="6">
        <f>VLOOKUP(C42,[1]sheet1!$C$18:$N$68,9,0)</f>
        <v>1.6639999999999999</v>
      </c>
      <c r="L42" s="5">
        <v>6.35</v>
      </c>
      <c r="M42" s="7">
        <v>50.8</v>
      </c>
      <c r="N42" s="5" t="str">
        <f>VLOOKUP(C42,[1]sheet1!$C$18:$N$68,12,0)</f>
        <v>IN</v>
      </c>
    </row>
    <row r="43" spans="1:14" ht="38.5" customHeight="1" x14ac:dyDescent="0.2">
      <c r="A43" s="5">
        <v>25</v>
      </c>
      <c r="B43" s="5" t="s">
        <v>28</v>
      </c>
      <c r="C43" s="6" t="s">
        <v>100</v>
      </c>
      <c r="D43" s="6" t="s">
        <v>101</v>
      </c>
      <c r="E43" s="6" t="s">
        <v>102</v>
      </c>
      <c r="F43" s="6" t="s">
        <v>57</v>
      </c>
      <c r="G43" s="6" t="s">
        <v>38</v>
      </c>
      <c r="H43" s="6"/>
      <c r="I43" s="5">
        <v>8</v>
      </c>
      <c r="J43" s="5" t="s">
        <v>33</v>
      </c>
      <c r="K43" s="6">
        <f>VLOOKUP(C43,[1]sheet1!$C$18:$N$68,9,0)</f>
        <v>0.58399999999999996</v>
      </c>
      <c r="L43" s="5">
        <v>7.22</v>
      </c>
      <c r="M43" s="7">
        <v>57.76</v>
      </c>
      <c r="N43" s="5" t="str">
        <f>VLOOKUP(C43,[1]sheet1!$C$18:$N$68,12,0)</f>
        <v>IN</v>
      </c>
    </row>
    <row r="44" spans="1:14" ht="38.5" customHeight="1" x14ac:dyDescent="0.2">
      <c r="A44" s="5">
        <v>26</v>
      </c>
      <c r="B44" s="5" t="s">
        <v>28</v>
      </c>
      <c r="C44" s="6" t="s">
        <v>103</v>
      </c>
      <c r="D44" s="6" t="s">
        <v>104</v>
      </c>
      <c r="E44" s="6" t="s">
        <v>105</v>
      </c>
      <c r="F44" s="6" t="s">
        <v>106</v>
      </c>
      <c r="G44" s="6"/>
      <c r="H44" s="6"/>
      <c r="I44" s="5">
        <v>18</v>
      </c>
      <c r="J44" s="5" t="s">
        <v>33</v>
      </c>
      <c r="K44" s="6">
        <f>VLOOKUP(C44,[1]sheet1!$C$18:$N$68,9,0)</f>
        <v>54</v>
      </c>
      <c r="L44" s="5">
        <v>2.33</v>
      </c>
      <c r="M44" s="7">
        <v>41.94</v>
      </c>
      <c r="N44" s="5" t="str">
        <f>VLOOKUP(C44,[1]sheet1!$C$18:$N$68,12,0)</f>
        <v>IN</v>
      </c>
    </row>
    <row r="45" spans="1:14" ht="38.5" customHeight="1" x14ac:dyDescent="0.2">
      <c r="A45" s="5">
        <v>27</v>
      </c>
      <c r="B45" s="5" t="s">
        <v>28</v>
      </c>
      <c r="C45" s="6" t="s">
        <v>107</v>
      </c>
      <c r="D45" s="6" t="s">
        <v>108</v>
      </c>
      <c r="E45" s="6" t="s">
        <v>105</v>
      </c>
      <c r="F45" s="6" t="s">
        <v>106</v>
      </c>
      <c r="G45" s="6"/>
      <c r="H45" s="6"/>
      <c r="I45" s="5">
        <v>16</v>
      </c>
      <c r="J45" s="5" t="s">
        <v>33</v>
      </c>
      <c r="K45" s="6">
        <f>VLOOKUP(C45,[1]sheet1!$C$18:$N$68,9,0)</f>
        <v>48</v>
      </c>
      <c r="L45" s="5">
        <v>2.33</v>
      </c>
      <c r="M45" s="7">
        <v>37.28</v>
      </c>
      <c r="N45" s="5" t="str">
        <f>VLOOKUP(C45,[1]sheet1!$C$18:$N$68,12,0)</f>
        <v>IN</v>
      </c>
    </row>
    <row r="46" spans="1:14" ht="21.75" customHeight="1" x14ac:dyDescent="0.2">
      <c r="A46" s="5">
        <v>28</v>
      </c>
      <c r="B46" s="5" t="s">
        <v>28</v>
      </c>
      <c r="C46" s="6" t="s">
        <v>109</v>
      </c>
      <c r="D46" s="6" t="s">
        <v>110</v>
      </c>
      <c r="E46" s="6"/>
      <c r="F46" s="6"/>
      <c r="G46" s="6"/>
      <c r="H46" s="6"/>
      <c r="I46" s="5">
        <v>16</v>
      </c>
      <c r="J46" s="5"/>
      <c r="K46" s="6">
        <f>VLOOKUP(C46,[1]sheet1!$C$18:$N$68,9,0)</f>
        <v>288</v>
      </c>
      <c r="L46" s="5">
        <v>56.86</v>
      </c>
      <c r="M46" s="7">
        <v>909.76</v>
      </c>
      <c r="N46" s="5" t="str">
        <f>VLOOKUP(C46,[1]sheet1!$C$18:$N$68,12,0)</f>
        <v>IN</v>
      </c>
    </row>
    <row r="47" spans="1:14" ht="21.75" customHeight="1" x14ac:dyDescent="0.2">
      <c r="A47" s="5">
        <v>29</v>
      </c>
      <c r="B47" s="5" t="s">
        <v>28</v>
      </c>
      <c r="C47" s="6" t="s">
        <v>111</v>
      </c>
      <c r="D47" s="6" t="s">
        <v>112</v>
      </c>
      <c r="E47" s="6" t="s">
        <v>113</v>
      </c>
      <c r="F47" s="6" t="s">
        <v>114</v>
      </c>
      <c r="G47" s="6"/>
      <c r="H47" s="6"/>
      <c r="I47" s="5">
        <v>8</v>
      </c>
      <c r="J47" s="5" t="s">
        <v>33</v>
      </c>
      <c r="K47" s="6">
        <f>VLOOKUP(C47,[1]sheet1!$C$18:$N$68,9,0)</f>
        <v>64.8</v>
      </c>
      <c r="L47" s="5">
        <v>122.92</v>
      </c>
      <c r="M47" s="7">
        <v>983.36</v>
      </c>
      <c r="N47" s="5" t="str">
        <f>VLOOKUP(C47,[1]sheet1!$C$18:$N$68,12,0)</f>
        <v>IN</v>
      </c>
    </row>
    <row r="48" spans="1:14" ht="25.75" customHeight="1" x14ac:dyDescent="0.2">
      <c r="A48" s="5">
        <v>30</v>
      </c>
      <c r="B48" s="5" t="s">
        <v>28</v>
      </c>
      <c r="C48" s="6" t="s">
        <v>115</v>
      </c>
      <c r="D48" s="6" t="s">
        <v>116</v>
      </c>
      <c r="E48" s="6" t="s">
        <v>117</v>
      </c>
      <c r="F48" s="6" t="s">
        <v>118</v>
      </c>
      <c r="G48" s="6"/>
      <c r="H48" s="6"/>
      <c r="I48" s="5">
        <v>48</v>
      </c>
      <c r="J48" s="5" t="s">
        <v>33</v>
      </c>
      <c r="K48" s="6">
        <f>VLOOKUP(C48,[1]sheet1!$C$18:$N$68,9,0)</f>
        <v>42.192</v>
      </c>
      <c r="L48" s="5">
        <v>10.68</v>
      </c>
      <c r="M48" s="7">
        <v>512.64</v>
      </c>
      <c r="N48" s="5" t="str">
        <f>VLOOKUP(C48,[1]sheet1!$C$18:$N$68,12,0)</f>
        <v>IN</v>
      </c>
    </row>
    <row r="49" spans="1:14" ht="21.75" customHeight="1" x14ac:dyDescent="0.2">
      <c r="A49" s="5">
        <v>31</v>
      </c>
      <c r="B49" s="5" t="s">
        <v>28</v>
      </c>
      <c r="C49" s="6" t="s">
        <v>119</v>
      </c>
      <c r="D49" s="6" t="s">
        <v>120</v>
      </c>
      <c r="E49" s="6"/>
      <c r="F49" s="6"/>
      <c r="G49" s="6"/>
      <c r="H49" s="6"/>
      <c r="I49" s="5">
        <v>16</v>
      </c>
      <c r="J49" s="5"/>
      <c r="K49" s="6">
        <f>VLOOKUP(C49,[1]sheet1!$C$18:$N$68,9,0)</f>
        <v>288</v>
      </c>
      <c r="L49" s="5">
        <v>63.44</v>
      </c>
      <c r="M49" s="7">
        <v>1015.04</v>
      </c>
      <c r="N49" s="5" t="str">
        <f>VLOOKUP(C49,[1]sheet1!$C$18:$N$68,12,0)</f>
        <v>IN</v>
      </c>
    </row>
    <row r="50" spans="1:14" ht="25.75" customHeight="1" x14ac:dyDescent="0.2">
      <c r="A50" s="5">
        <v>32</v>
      </c>
      <c r="B50" s="5" t="s">
        <v>28</v>
      </c>
      <c r="C50" s="6" t="s">
        <v>121</v>
      </c>
      <c r="D50" s="6" t="s">
        <v>122</v>
      </c>
      <c r="E50" s="6" t="s">
        <v>123</v>
      </c>
      <c r="F50" s="6" t="s">
        <v>124</v>
      </c>
      <c r="G50" s="6" t="s">
        <v>38</v>
      </c>
      <c r="H50" s="6"/>
      <c r="I50" s="5">
        <v>8</v>
      </c>
      <c r="J50" s="5" t="s">
        <v>33</v>
      </c>
      <c r="K50" s="6">
        <f>VLOOKUP(C50,[1]sheet1!$C$18:$N$68,9,0)</f>
        <v>38.96</v>
      </c>
      <c r="L50" s="5">
        <v>41.21</v>
      </c>
      <c r="M50" s="7">
        <v>329.68</v>
      </c>
      <c r="N50" s="5" t="str">
        <f>VLOOKUP(C50,[1]sheet1!$C$18:$N$68,12,0)</f>
        <v>IN</v>
      </c>
    </row>
    <row r="51" spans="1:14" ht="25.75" customHeight="1" x14ac:dyDescent="0.2">
      <c r="A51" s="5">
        <v>33</v>
      </c>
      <c r="B51" s="5" t="s">
        <v>28</v>
      </c>
      <c r="C51" s="6" t="s">
        <v>125</v>
      </c>
      <c r="D51" s="6" t="s">
        <v>126</v>
      </c>
      <c r="E51" s="6" t="s">
        <v>127</v>
      </c>
      <c r="F51" s="6" t="s">
        <v>128</v>
      </c>
      <c r="G51" s="6"/>
      <c r="H51" s="6"/>
      <c r="I51" s="5">
        <v>4</v>
      </c>
      <c r="J51" s="5" t="s">
        <v>33</v>
      </c>
      <c r="K51" s="6">
        <f>VLOOKUP(C51,[1]sheet1!$C$18:$N$68,9,0)</f>
        <v>52</v>
      </c>
      <c r="L51" s="5">
        <v>37.85</v>
      </c>
      <c r="M51" s="7">
        <v>151.4</v>
      </c>
      <c r="N51" s="5" t="str">
        <f>VLOOKUP(C51,[1]sheet1!$C$18:$N$68,12,0)</f>
        <v>IN</v>
      </c>
    </row>
    <row r="52" spans="1:14" ht="38.5" customHeight="1" x14ac:dyDescent="0.2">
      <c r="A52" s="5">
        <v>34</v>
      </c>
      <c r="B52" s="5" t="s">
        <v>28</v>
      </c>
      <c r="C52" s="6" t="s">
        <v>129</v>
      </c>
      <c r="D52" s="6" t="s">
        <v>130</v>
      </c>
      <c r="E52" s="6" t="s">
        <v>131</v>
      </c>
      <c r="F52" s="6" t="s">
        <v>132</v>
      </c>
      <c r="G52" s="6" t="s">
        <v>38</v>
      </c>
      <c r="H52" s="6"/>
      <c r="I52" s="5">
        <v>14</v>
      </c>
      <c r="J52" s="5" t="s">
        <v>33</v>
      </c>
      <c r="K52" s="6">
        <f>VLOOKUP(C52,[1]sheet1!$C$18:$N$68,9,0)</f>
        <v>35</v>
      </c>
      <c r="L52" s="5">
        <v>68.709999999999994</v>
      </c>
      <c r="M52" s="7">
        <v>961.94</v>
      </c>
      <c r="N52" s="5" t="str">
        <f>VLOOKUP(C52,[1]sheet1!$C$18:$N$68,12,0)</f>
        <v>IN</v>
      </c>
    </row>
    <row r="53" spans="1:14" ht="38.5" customHeight="1" x14ac:dyDescent="0.2">
      <c r="A53" s="5">
        <v>35</v>
      </c>
      <c r="B53" s="5" t="s">
        <v>28</v>
      </c>
      <c r="C53" s="6" t="s">
        <v>133</v>
      </c>
      <c r="D53" s="6" t="s">
        <v>134</v>
      </c>
      <c r="E53" s="6" t="s">
        <v>135</v>
      </c>
      <c r="F53" s="6" t="s">
        <v>136</v>
      </c>
      <c r="G53" s="6"/>
      <c r="H53" s="6"/>
      <c r="I53" s="5">
        <v>8</v>
      </c>
      <c r="J53" s="5" t="s">
        <v>33</v>
      </c>
      <c r="K53" s="6">
        <f>VLOOKUP(C53,[1]sheet1!$C$18:$N$68,9,0)</f>
        <v>83.823999999999998</v>
      </c>
      <c r="L53" s="5">
        <v>23</v>
      </c>
      <c r="M53" s="7">
        <v>184</v>
      </c>
      <c r="N53" s="5" t="str">
        <f>VLOOKUP(C53,[1]sheet1!$C$18:$N$68,12,0)</f>
        <v>IN</v>
      </c>
    </row>
    <row r="54" spans="1:14" ht="25.75" customHeight="1" x14ac:dyDescent="0.2">
      <c r="A54" s="5">
        <v>36</v>
      </c>
      <c r="B54" s="5" t="s">
        <v>28</v>
      </c>
      <c r="C54" s="6" t="s">
        <v>137</v>
      </c>
      <c r="D54" s="6" t="s">
        <v>138</v>
      </c>
      <c r="E54" s="6" t="s">
        <v>139</v>
      </c>
      <c r="F54" s="6" t="s">
        <v>136</v>
      </c>
      <c r="G54" s="6"/>
      <c r="H54" s="6"/>
      <c r="I54" s="5">
        <v>8</v>
      </c>
      <c r="J54" s="5" t="s">
        <v>33</v>
      </c>
      <c r="K54" s="6">
        <f>VLOOKUP(C54,[1]sheet1!$C$18:$N$68,9,0)</f>
        <v>5.9039999999999999</v>
      </c>
      <c r="L54" s="5">
        <v>3.22</v>
      </c>
      <c r="M54" s="7">
        <v>25.76</v>
      </c>
      <c r="N54" s="5" t="str">
        <f>VLOOKUP(C54,[1]sheet1!$C$18:$N$68,12,0)</f>
        <v>IN</v>
      </c>
    </row>
    <row r="55" spans="1:14" ht="25.75" customHeight="1" x14ac:dyDescent="0.2">
      <c r="A55" s="5">
        <v>37</v>
      </c>
      <c r="B55" s="5" t="s">
        <v>28</v>
      </c>
      <c r="C55" s="6" t="s">
        <v>140</v>
      </c>
      <c r="D55" s="6" t="s">
        <v>141</v>
      </c>
      <c r="E55" s="6" t="s">
        <v>142</v>
      </c>
      <c r="F55" s="6" t="s">
        <v>143</v>
      </c>
      <c r="G55" s="6"/>
      <c r="H55" s="6"/>
      <c r="I55" s="5">
        <v>8</v>
      </c>
      <c r="J55" s="5" t="s">
        <v>33</v>
      </c>
      <c r="K55" s="6">
        <f>VLOOKUP(C55,[1]sheet1!$C$18:$N$68,9,0)</f>
        <v>13.096</v>
      </c>
      <c r="L55" s="5">
        <v>3.5</v>
      </c>
      <c r="M55" s="7">
        <v>28</v>
      </c>
      <c r="N55" s="5" t="str">
        <f>VLOOKUP(C55,[1]sheet1!$C$18:$N$68,12,0)</f>
        <v>IN</v>
      </c>
    </row>
    <row r="56" spans="1:14" ht="25.75" customHeight="1" x14ac:dyDescent="0.2">
      <c r="A56" s="5">
        <v>38</v>
      </c>
      <c r="B56" s="5" t="s">
        <v>28</v>
      </c>
      <c r="C56" s="6" t="s">
        <v>144</v>
      </c>
      <c r="D56" s="6" t="s">
        <v>145</v>
      </c>
      <c r="E56" s="6" t="s">
        <v>146</v>
      </c>
      <c r="F56" s="6" t="s">
        <v>147</v>
      </c>
      <c r="G56" s="6"/>
      <c r="H56" s="6"/>
      <c r="I56" s="5">
        <v>8</v>
      </c>
      <c r="J56" s="5" t="s">
        <v>33</v>
      </c>
      <c r="K56" s="6">
        <f>VLOOKUP(C56,[1]sheet1!$C$18:$N$68,9,0)</f>
        <v>2.7440000000000002</v>
      </c>
      <c r="L56" s="5">
        <v>6.35</v>
      </c>
      <c r="M56" s="7">
        <v>50.8</v>
      </c>
      <c r="N56" s="5" t="str">
        <f>VLOOKUP(C56,[1]sheet1!$C$18:$N$68,12,0)</f>
        <v>IN</v>
      </c>
    </row>
    <row r="57" spans="1:14" ht="21.75" customHeight="1" x14ac:dyDescent="0.2">
      <c r="A57" s="5">
        <v>39</v>
      </c>
      <c r="B57" s="5" t="s">
        <v>28</v>
      </c>
      <c r="C57" s="6" t="s">
        <v>148</v>
      </c>
      <c r="D57" s="6" t="s">
        <v>149</v>
      </c>
      <c r="E57" s="6" t="s">
        <v>150</v>
      </c>
      <c r="F57" s="6" t="s">
        <v>151</v>
      </c>
      <c r="G57" s="6"/>
      <c r="H57" s="6"/>
      <c r="I57" s="5">
        <v>8</v>
      </c>
      <c r="J57" s="5" t="s">
        <v>33</v>
      </c>
      <c r="K57" s="6">
        <f>VLOOKUP(C57,[1]sheet1!$C$18:$N$68,9,0)</f>
        <v>52.695999999999998</v>
      </c>
      <c r="L57" s="5">
        <v>15.02</v>
      </c>
      <c r="M57" s="7">
        <v>120.16</v>
      </c>
      <c r="N57" s="5" t="str">
        <f>VLOOKUP(C57,[1]sheet1!$C$18:$N$68,12,0)</f>
        <v>IN</v>
      </c>
    </row>
    <row r="58" spans="1:14" ht="38.5" customHeight="1" x14ac:dyDescent="0.2">
      <c r="A58" s="5">
        <v>40</v>
      </c>
      <c r="B58" s="5" t="s">
        <v>28</v>
      </c>
      <c r="C58" s="6" t="s">
        <v>152</v>
      </c>
      <c r="D58" s="6" t="s">
        <v>153</v>
      </c>
      <c r="E58" s="6" t="s">
        <v>154</v>
      </c>
      <c r="F58" s="6" t="s">
        <v>57</v>
      </c>
      <c r="G58" s="6" t="s">
        <v>38</v>
      </c>
      <c r="H58" s="6"/>
      <c r="I58" s="5">
        <v>8</v>
      </c>
      <c r="J58" s="5" t="s">
        <v>33</v>
      </c>
      <c r="K58" s="6">
        <f>VLOOKUP(C58,[1]sheet1!$C$18:$N$68,9,0)</f>
        <v>8.8000000000000007</v>
      </c>
      <c r="L58" s="5">
        <v>2.4700000000000002</v>
      </c>
      <c r="M58" s="7">
        <v>19.760000000000002</v>
      </c>
      <c r="N58" s="5" t="str">
        <f>VLOOKUP(C58,[1]sheet1!$C$18:$N$68,12,0)</f>
        <v>IN</v>
      </c>
    </row>
    <row r="59" spans="1:14" ht="166.5" customHeight="1" x14ac:dyDescent="0.2">
      <c r="A59" s="5">
        <v>41</v>
      </c>
      <c r="B59" s="5" t="s">
        <v>28</v>
      </c>
      <c r="C59" s="6" t="s">
        <v>155</v>
      </c>
      <c r="D59" s="6" t="s">
        <v>156</v>
      </c>
      <c r="E59" s="6" t="s">
        <v>157</v>
      </c>
      <c r="F59" s="6" t="s">
        <v>158</v>
      </c>
      <c r="G59" s="6" t="s">
        <v>159</v>
      </c>
      <c r="H59" s="6" t="s">
        <v>160</v>
      </c>
      <c r="I59" s="5">
        <v>96</v>
      </c>
      <c r="J59" s="5" t="s">
        <v>33</v>
      </c>
      <c r="K59" s="6">
        <f>VLOOKUP(C59,[1]sheet1!$C$18:$N$68,9,0)</f>
        <v>432.96</v>
      </c>
      <c r="L59" s="5">
        <v>21.76</v>
      </c>
      <c r="M59" s="7">
        <v>2088.96</v>
      </c>
      <c r="N59" s="5" t="str">
        <f>VLOOKUP(C59,[1]sheet1!$C$18:$N$68,12,0)</f>
        <v>IN</v>
      </c>
    </row>
    <row r="60" spans="1:14" ht="25.75" customHeight="1" x14ac:dyDescent="0.2">
      <c r="A60" s="5">
        <v>42</v>
      </c>
      <c r="B60" s="5" t="s">
        <v>28</v>
      </c>
      <c r="C60" s="6" t="s">
        <v>161</v>
      </c>
      <c r="D60" s="6" t="s">
        <v>162</v>
      </c>
      <c r="E60" s="6" t="s">
        <v>163</v>
      </c>
      <c r="F60" s="6" t="s">
        <v>164</v>
      </c>
      <c r="G60" s="6"/>
      <c r="H60" s="6"/>
      <c r="I60" s="5">
        <v>48</v>
      </c>
      <c r="J60" s="5" t="s">
        <v>33</v>
      </c>
      <c r="K60" s="6">
        <f>VLOOKUP(C60,[1]sheet1!$C$18:$N$68,9,0)</f>
        <v>6.24</v>
      </c>
      <c r="L60" s="5">
        <v>4.0599999999999996</v>
      </c>
      <c r="M60" s="7">
        <v>194.88</v>
      </c>
      <c r="N60" s="5" t="str">
        <f>VLOOKUP(C60,[1]sheet1!$C$18:$N$68,12,0)</f>
        <v>IN</v>
      </c>
    </row>
    <row r="61" spans="1:14" ht="25.75" customHeight="1" x14ac:dyDescent="0.2">
      <c r="A61" s="5">
        <v>43</v>
      </c>
      <c r="B61" s="5" t="s">
        <v>28</v>
      </c>
      <c r="C61" s="6" t="s">
        <v>165</v>
      </c>
      <c r="D61" s="6" t="s">
        <v>166</v>
      </c>
      <c r="E61" s="6" t="s">
        <v>167</v>
      </c>
      <c r="F61" s="6" t="s">
        <v>136</v>
      </c>
      <c r="G61" s="6"/>
      <c r="H61" s="6"/>
      <c r="I61" s="5">
        <v>48</v>
      </c>
      <c r="J61" s="5" t="s">
        <v>33</v>
      </c>
      <c r="K61" s="6">
        <f>VLOOKUP(C61,[1]sheet1!$C$18:$N$68,9,0)</f>
        <v>29.567999999999998</v>
      </c>
      <c r="L61" s="5">
        <v>5.59</v>
      </c>
      <c r="M61" s="7">
        <v>268.32</v>
      </c>
      <c r="N61" s="5" t="str">
        <f>VLOOKUP(C61,[1]sheet1!$C$18:$N$68,12,0)</f>
        <v>IN</v>
      </c>
    </row>
    <row r="62" spans="1:14" ht="25.75" customHeight="1" x14ac:dyDescent="0.2">
      <c r="A62" s="5">
        <v>44</v>
      </c>
      <c r="B62" s="5" t="s">
        <v>28</v>
      </c>
      <c r="C62" s="6" t="s">
        <v>168</v>
      </c>
      <c r="D62" s="6" t="s">
        <v>169</v>
      </c>
      <c r="E62" s="6" t="s">
        <v>170</v>
      </c>
      <c r="F62" s="6" t="s">
        <v>171</v>
      </c>
      <c r="G62" s="6"/>
      <c r="H62" s="6"/>
      <c r="I62" s="5">
        <v>48</v>
      </c>
      <c r="J62" s="5" t="s">
        <v>33</v>
      </c>
      <c r="K62" s="6">
        <f>VLOOKUP(C62,[1]sheet1!$C$18:$N$68,9,0)</f>
        <v>64.800000000000011</v>
      </c>
      <c r="L62" s="5">
        <v>26.09</v>
      </c>
      <c r="M62" s="7">
        <v>1252.32</v>
      </c>
      <c r="N62" s="5" t="str">
        <f>VLOOKUP(C62,[1]sheet1!$C$18:$N$68,12,0)</f>
        <v>IN</v>
      </c>
    </row>
    <row r="63" spans="1:14" ht="21.75" customHeight="1" x14ac:dyDescent="0.2">
      <c r="A63" s="5">
        <v>45</v>
      </c>
      <c r="B63" s="5" t="s">
        <v>28</v>
      </c>
      <c r="C63" s="6" t="s">
        <v>172</v>
      </c>
      <c r="D63" s="6" t="s">
        <v>173</v>
      </c>
      <c r="E63" s="6" t="s">
        <v>174</v>
      </c>
      <c r="F63" s="6" t="s">
        <v>32</v>
      </c>
      <c r="G63" s="6"/>
      <c r="H63" s="6"/>
      <c r="I63" s="5">
        <v>36</v>
      </c>
      <c r="J63" s="5" t="s">
        <v>33</v>
      </c>
      <c r="K63" s="6">
        <f>VLOOKUP(C63,[1]sheet1!$C$18:$N$68,9,0)</f>
        <v>307.08</v>
      </c>
      <c r="L63" s="5">
        <v>63.42</v>
      </c>
      <c r="M63" s="7">
        <v>2283.12</v>
      </c>
      <c r="N63" s="5" t="str">
        <f>VLOOKUP(C63,[1]sheet1!$C$18:$N$68,12,0)</f>
        <v>IN</v>
      </c>
    </row>
    <row r="64" spans="1:14" ht="21.75" customHeight="1" x14ac:dyDescent="0.2">
      <c r="A64" s="5">
        <v>46</v>
      </c>
      <c r="B64" s="5" t="s">
        <v>28</v>
      </c>
      <c r="C64" s="6" t="s">
        <v>175</v>
      </c>
      <c r="D64" s="6" t="s">
        <v>176</v>
      </c>
      <c r="E64" s="6" t="s">
        <v>177</v>
      </c>
      <c r="F64" s="6" t="s">
        <v>178</v>
      </c>
      <c r="G64" s="6" t="s">
        <v>38</v>
      </c>
      <c r="H64" s="6"/>
      <c r="I64" s="5">
        <v>8</v>
      </c>
      <c r="J64" s="5" t="s">
        <v>33</v>
      </c>
      <c r="K64" s="6">
        <f>VLOOKUP(C64,[1]sheet1!$C$18:$N$68,9,0)</f>
        <v>15.087999999999999</v>
      </c>
      <c r="L64" s="5">
        <v>54.89</v>
      </c>
      <c r="M64" s="7">
        <v>439.12</v>
      </c>
      <c r="N64" s="5" t="str">
        <f>VLOOKUP(C64,[1]sheet1!$C$18:$N$68,12,0)</f>
        <v>IN</v>
      </c>
    </row>
    <row r="65" spans="1:14" ht="21.75" customHeight="1" x14ac:dyDescent="0.2">
      <c r="A65" s="5">
        <v>47</v>
      </c>
      <c r="B65" s="5" t="s">
        <v>28</v>
      </c>
      <c r="C65" s="6" t="s">
        <v>179</v>
      </c>
      <c r="D65" s="6" t="s">
        <v>180</v>
      </c>
      <c r="E65" s="6" t="s">
        <v>181</v>
      </c>
      <c r="F65" s="6" t="s">
        <v>182</v>
      </c>
      <c r="G65" s="6"/>
      <c r="H65" s="6"/>
      <c r="I65" s="5">
        <v>8</v>
      </c>
      <c r="J65" s="5" t="s">
        <v>33</v>
      </c>
      <c r="K65" s="6">
        <f>VLOOKUP(C65,[1]sheet1!$C$18:$N$68,9,0)</f>
        <v>204</v>
      </c>
      <c r="L65" s="5">
        <v>5.21</v>
      </c>
      <c r="M65" s="7">
        <v>41.68</v>
      </c>
      <c r="N65" s="5" t="str">
        <f>VLOOKUP(C65,[1]sheet1!$C$18:$N$68,12,0)</f>
        <v>A1</v>
      </c>
    </row>
    <row r="66" spans="1:14" ht="51.25" customHeight="1" x14ac:dyDescent="0.2">
      <c r="A66" s="5">
        <v>48</v>
      </c>
      <c r="B66" s="5" t="s">
        <v>28</v>
      </c>
      <c r="C66" s="6" t="s">
        <v>183</v>
      </c>
      <c r="D66" s="6" t="s">
        <v>184</v>
      </c>
      <c r="E66" s="6" t="s">
        <v>185</v>
      </c>
      <c r="F66" s="6" t="s">
        <v>57</v>
      </c>
      <c r="G66" s="6" t="s">
        <v>38</v>
      </c>
      <c r="H66" s="6"/>
      <c r="I66" s="5">
        <v>48</v>
      </c>
      <c r="J66" s="5" t="s">
        <v>33</v>
      </c>
      <c r="K66" s="6">
        <f>VLOOKUP(C66,[1]sheet1!$C$18:$N$68,9,0)</f>
        <v>81.12</v>
      </c>
      <c r="L66" s="5">
        <v>0.03</v>
      </c>
      <c r="M66" s="7">
        <v>1.44</v>
      </c>
      <c r="N66" s="5" t="str">
        <f>VLOOKUP(C66,[1]sheet1!$C$18:$N$68,12,0)</f>
        <v>A1</v>
      </c>
    </row>
    <row r="67" spans="1:14" ht="51.25" customHeight="1" x14ac:dyDescent="0.2">
      <c r="A67" s="5">
        <v>49</v>
      </c>
      <c r="B67" s="5" t="s">
        <v>28</v>
      </c>
      <c r="C67" s="6" t="s">
        <v>186</v>
      </c>
      <c r="D67" s="6" t="s">
        <v>187</v>
      </c>
      <c r="E67" s="6" t="s">
        <v>188</v>
      </c>
      <c r="F67" s="6" t="s">
        <v>57</v>
      </c>
      <c r="G67" s="6" t="s">
        <v>38</v>
      </c>
      <c r="H67" s="6"/>
      <c r="I67" s="5">
        <v>96</v>
      </c>
      <c r="J67" s="5" t="s">
        <v>33</v>
      </c>
      <c r="K67" s="6">
        <f>VLOOKUP(C67,[1]sheet1!$C$18:$N$68,9,0)</f>
        <v>39.36</v>
      </c>
      <c r="L67" s="5">
        <v>0.02</v>
      </c>
      <c r="M67" s="7">
        <v>1.92</v>
      </c>
      <c r="N67" s="5" t="str">
        <f>VLOOKUP(C67,[1]sheet1!$C$18:$N$68,12,0)</f>
        <v>A1</v>
      </c>
    </row>
    <row r="68" spans="1:14" ht="51.25" customHeight="1" x14ac:dyDescent="0.2">
      <c r="A68" s="5">
        <v>50</v>
      </c>
      <c r="B68" s="5" t="s">
        <v>28</v>
      </c>
      <c r="C68" s="6" t="s">
        <v>189</v>
      </c>
      <c r="D68" s="6" t="s">
        <v>190</v>
      </c>
      <c r="E68" s="6" t="s">
        <v>191</v>
      </c>
      <c r="F68" s="6" t="s">
        <v>57</v>
      </c>
      <c r="G68" s="6" t="s">
        <v>38</v>
      </c>
      <c r="H68" s="6"/>
      <c r="I68" s="5">
        <v>96</v>
      </c>
      <c r="J68" s="5" t="s">
        <v>33</v>
      </c>
      <c r="K68" s="6">
        <f>VLOOKUP(C68,[1]sheet1!$C$18:$N$68,9,0)</f>
        <v>49.92</v>
      </c>
      <c r="L68" s="5">
        <v>0.02</v>
      </c>
      <c r="M68" s="7">
        <v>1.92</v>
      </c>
      <c r="N68" s="5" t="str">
        <f>VLOOKUP(C68,[1]sheet1!$C$18:$N$68,12,0)</f>
        <v>A1</v>
      </c>
    </row>
    <row r="69" spans="1:14" ht="25.75" customHeight="1" x14ac:dyDescent="0.2">
      <c r="A69" s="8" t="s">
        <v>192</v>
      </c>
      <c r="B69" s="9"/>
      <c r="C69" s="9"/>
      <c r="D69" s="9"/>
      <c r="E69" s="9"/>
      <c r="F69" s="9"/>
      <c r="G69" s="9"/>
      <c r="H69" s="9"/>
      <c r="I69" s="10">
        <f>SUBTOTAL(9,I19:I68)</f>
        <v>1011</v>
      </c>
      <c r="J69" s="5" t="s">
        <v>193</v>
      </c>
      <c r="K69" s="9"/>
      <c r="L69" s="9"/>
      <c r="M69" s="10">
        <f>SUBTOTAL(9,M19:M68)</f>
        <v>15971.36</v>
      </c>
      <c r="N69" s="9"/>
    </row>
    <row r="70" spans="1:14" ht="33.25" customHeight="1" x14ac:dyDescent="0.2">
      <c r="A70" s="12" t="s">
        <v>194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</sheetData>
  <mergeCells count="8">
    <mergeCell ref="A8:C14"/>
    <mergeCell ref="D8:F14"/>
    <mergeCell ref="A70:N70"/>
    <mergeCell ref="A1:M1"/>
    <mergeCell ref="A2:M2"/>
    <mergeCell ref="A3:M3"/>
    <mergeCell ref="A4:M4"/>
    <mergeCell ref="A6:M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Alejandro Melendez Arias</cp:lastModifiedBy>
  <dcterms:created xsi:type="dcterms:W3CDTF">2025-12-23T21:12:18Z</dcterms:created>
  <dcterms:modified xsi:type="dcterms:W3CDTF">2025-12-26T13:48:40Z</dcterms:modified>
</cp:coreProperties>
</file>