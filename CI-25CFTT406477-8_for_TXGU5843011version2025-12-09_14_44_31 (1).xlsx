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176D2B09-F05F-5D48-AA6A-6CF375EC8DA4}" xr6:coauthVersionLast="47" xr6:coauthVersionMax="47" xr10:uidLastSave="{00000000-0000-0000-0000-000000000000}"/>
  <bookViews>
    <workbookView xWindow="0" yWindow="76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sheet1!$A$18:$N$85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4" i="1" l="1"/>
  <c r="I84" i="1"/>
</calcChain>
</file>

<file path=xl/sharedStrings.xml><?xml version="1.0" encoding="utf-8"?>
<sst xmlns="http://schemas.openxmlformats.org/spreadsheetml/2006/main" count="593" uniqueCount="271">
  <si>
    <t>IMPORTADOR: CFMOTO MEXICO POWER S. DE R.L. DE C.V.
 DIRECCIÓN FISCAL: CALLE TECNOLOGIA 
 No. EXT. 107 CIUDAD APODACA C.P. 66628 
 COLONIA: VYNMSA APODACA INDUSTRIAL PARK
 NUEVO LEON, MEXICO 
 (ESTADOS UNIDOS MEXICANOS)
 RFC: CMP220712ND9.</t>
  </si>
  <si>
    <t>PROVEEDOR：ZHEJIANG CFMOTO POWER CO., LTD
 DIRECCIÓN：WUZHOU ROAD, YUHANG ECONOMIC 
 DEVELOPMENT ZONE No.EXT. 116 C.P. 311100 
 HANGZHOU ZHEJIANG, CHINA (REPUBLICA POPULAR)
 TAX ID ：91330100757206158J</t>
  </si>
  <si>
    <t>ZHEJIANG CFMOTO POWER CO.,LTD</t>
  </si>
  <si>
    <t>NO.116,WUZHOU ROAD,YUHANG ECONOMIC DEVELOPMENT ZONE,</t>
  </si>
  <si>
    <t>HANGZHOU 311100,ZHEJIANG PROVINCE,P.R.CHINA</t>
  </si>
  <si>
    <t>TEL: 0086-57189265787  FAX: 0086-57189265788</t>
  </si>
  <si>
    <t>COMMERCIAL INVOICE</t>
  </si>
  <si>
    <t>INVOICE NO : 25CFTT406477-8</t>
  </si>
  <si>
    <t>PAYMENT：T/T</t>
  </si>
  <si>
    <t>DATE : Dec-1st,2025</t>
  </si>
  <si>
    <t>SHIPPED FROM : NINGBO, CHINA</t>
  </si>
  <si>
    <t>TO MANZANILLO , MEXICO</t>
  </si>
  <si>
    <t>TEL:+52 8119640554</t>
  </si>
  <si>
    <t>SHIPPED PER : BY SEA</t>
  </si>
  <si>
    <t>ITEM</t>
  </si>
  <si>
    <t>MODEL</t>
  </si>
  <si>
    <t>PART NO.</t>
  </si>
  <si>
    <t>ENGLISH NAME</t>
  </si>
  <si>
    <t>DESCRIPCION(ES)</t>
  </si>
  <si>
    <t>HTS</t>
  </si>
  <si>
    <t>PROSEC</t>
  </si>
  <si>
    <t>R8</t>
  </si>
  <si>
    <t>QTY</t>
  </si>
  <si>
    <t>U-M</t>
  </si>
  <si>
    <t>NETWEIGHT</t>
  </si>
  <si>
    <t>PRICE(USD)</t>
  </si>
  <si>
    <t>AMOUNT(USD)</t>
  </si>
  <si>
    <t>REGIMEN</t>
  </si>
  <si>
    <t>CM1000UZ-8L</t>
  </si>
  <si>
    <t>0NYV-113000-3000</t>
  </si>
  <si>
    <t>AIR FILTER EXHAUST PIPE ASSY</t>
  </si>
  <si>
    <t>TUBERIA PREFORMADA</t>
  </si>
  <si>
    <t>8708999999</t>
  </si>
  <si>
    <t>PZA</t>
  </si>
  <si>
    <t>0.72</t>
  </si>
  <si>
    <t>IN</t>
  </si>
  <si>
    <t>30006-060012810</t>
  </si>
  <si>
    <t>BOLT</t>
  </si>
  <si>
    <t>TORNILLO DE ACERO DE USO AUTOMOTRIZ</t>
  </si>
  <si>
    <t>7318159903</t>
  </si>
  <si>
    <t>1931R825050575</t>
  </si>
  <si>
    <t>0.6</t>
  </si>
  <si>
    <t>30006-060016810</t>
  </si>
  <si>
    <t>0.7</t>
  </si>
  <si>
    <t>30006-080016810</t>
  </si>
  <si>
    <t>0.1</t>
  </si>
  <si>
    <t>30006-102075810</t>
  </si>
  <si>
    <t>BOLT M10X1.25X75</t>
  </si>
  <si>
    <t>PERNOS ROSCADOS DE USO AUTOMOTRIZ</t>
  </si>
  <si>
    <t>0.3</t>
  </si>
  <si>
    <t>31023004</t>
  </si>
  <si>
    <t>BATTERY</t>
  </si>
  <si>
    <t>BATERIA DE PLOMO ACIDO DE GEL</t>
  </si>
  <si>
    <t>8507109900</t>
  </si>
  <si>
    <t xml:space="preserve">Ex. </t>
  </si>
  <si>
    <t>1.255</t>
  </si>
  <si>
    <t>5BWV-102000-5001</t>
  </si>
  <si>
    <t>GAS SPRING ASSY</t>
  </si>
  <si>
    <t>CILINDRO DE MOVIMIENTO RECTILINEO</t>
  </si>
  <si>
    <t>8412319900</t>
  </si>
  <si>
    <t>0.47</t>
  </si>
  <si>
    <t>5BWV-156906-5000-M1</t>
  </si>
  <si>
    <t>EXTENSION POWER TERMINAL CAP</t>
  </si>
  <si>
    <t>CUBIERTA PLASTICA DE TERMINALES</t>
  </si>
  <si>
    <t>3926909906</t>
  </si>
  <si>
    <t>0.005</t>
  </si>
  <si>
    <t>5HYV-002009-6001</t>
  </si>
  <si>
    <t>INTAKE CAVITY</t>
  </si>
  <si>
    <t>0.551</t>
  </si>
  <si>
    <t>5HYV-002011-6001</t>
  </si>
  <si>
    <t>CVT REAR INTAKE PIPE CONNECTOR</t>
  </si>
  <si>
    <t>0.428</t>
  </si>
  <si>
    <t>5HYV-041041-6001-0BM00</t>
  </si>
  <si>
    <t>FRONT LH PANEL</t>
  </si>
  <si>
    <t>PARTE PARA CARROCERIA</t>
  </si>
  <si>
    <t>8708299999</t>
  </si>
  <si>
    <t>0.586</t>
  </si>
  <si>
    <t>5HYV-041041-6001-0K100</t>
  </si>
  <si>
    <t>5HYV-041041-6001-0RT00</t>
  </si>
  <si>
    <t>5HYV-041043-6001-0BM00</t>
  </si>
  <si>
    <t>FRONT RH PANEL</t>
  </si>
  <si>
    <t>5HYV-041043-6001-0K100</t>
  </si>
  <si>
    <t>5HYV-041043-6001-0RT00</t>
  </si>
  <si>
    <t>5HYV-050110-6001A</t>
  </si>
  <si>
    <t>FRONT LH UPPER SWING ARM ASSY</t>
  </si>
  <si>
    <t>BRAZO DE LA SUSPENSION</t>
  </si>
  <si>
    <t>8708800700</t>
  </si>
  <si>
    <t>3.75</t>
  </si>
  <si>
    <t>5HYV-050210-6000A</t>
  </si>
  <si>
    <t>FRONT LH LOWER SWING ARM ASSY</t>
  </si>
  <si>
    <t>4.5</t>
  </si>
  <si>
    <t>5HYV-050610-6000</t>
  </si>
  <si>
    <t>FRONT SWAY BAR ASSY</t>
  </si>
  <si>
    <t>BARRA ESTABILIZADORA</t>
  </si>
  <si>
    <t>8708809900</t>
  </si>
  <si>
    <t>2.645</t>
  </si>
  <si>
    <t>5HYV-050701A</t>
  </si>
  <si>
    <t>LH STEERING KNUCKLE ASSY</t>
  </si>
  <si>
    <t>PARTE DE LA DIRECCION</t>
  </si>
  <si>
    <t>8708941291</t>
  </si>
  <si>
    <t>9.5</t>
  </si>
  <si>
    <t>5HYV-050801A</t>
  </si>
  <si>
    <t>RH STEERING KNUCKLE ASSY</t>
  </si>
  <si>
    <t>5HYV-060110-6000A</t>
  </si>
  <si>
    <t>REAR LH UPPER SWING ARM ASSY</t>
  </si>
  <si>
    <t>PARTE DE LA SUSPENSION</t>
  </si>
  <si>
    <t>8708800500</t>
  </si>
  <si>
    <t>3.2</t>
  </si>
  <si>
    <t>5HYV-060210-6000A</t>
  </si>
  <si>
    <t>REAR LH LOWER SWING ARM ASSY</t>
  </si>
  <si>
    <t>7.8</t>
  </si>
  <si>
    <t>5HYV-060310-6000A</t>
  </si>
  <si>
    <t>REAR RH UPPER SWING ARM ASSY</t>
  </si>
  <si>
    <t>5HYV-060410-6000A</t>
  </si>
  <si>
    <t>REAR RH LOWER SWING ARM ASSY</t>
  </si>
  <si>
    <t>5HYV-060610-6000</t>
  </si>
  <si>
    <t>REAR SWAY BAR ASSY</t>
  </si>
  <si>
    <t>2.792</t>
  </si>
  <si>
    <t>5HYV-060703-6000A</t>
  </si>
  <si>
    <t>REAR BEARING CARRIER ASSY,</t>
  </si>
  <si>
    <t>PARTE DEL EJE</t>
  </si>
  <si>
    <t>8708509999</t>
  </si>
  <si>
    <t>3 Únicamente: Fundas para ejes traseros; flechas semiejes, acoplables al mecanismo diferencial, incluso las de velocidad constante (homocinéticas) y sus partes componentes; juntas universales, tipo cardán para cruceta; ejes cardánicos.</t>
  </si>
  <si>
    <t>1931R825050423</t>
  </si>
  <si>
    <t>2</t>
  </si>
  <si>
    <t>5HYV-103100-6001</t>
  </si>
  <si>
    <t>EPS BRACKET</t>
  </si>
  <si>
    <t>0.39</t>
  </si>
  <si>
    <t>5HYV-105000-6001</t>
  </si>
  <si>
    <t>STEERING MOTOR ASSY</t>
  </si>
  <si>
    <t>4.241</t>
  </si>
  <si>
    <t>5HYV-107200-6000</t>
  </si>
  <si>
    <t>LOWER STEERING SHAFT ASSY</t>
  </si>
  <si>
    <t>CARDAN DE USO AUTOMOTRIZ</t>
  </si>
  <si>
    <t>8708509904</t>
  </si>
  <si>
    <t>1931R825038867</t>
  </si>
  <si>
    <t>1.27</t>
  </si>
  <si>
    <t>5HYV-150820-6000</t>
  </si>
  <si>
    <t>EPS MOTOR</t>
  </si>
  <si>
    <t>CAJA DE DIRECCION ELECTRICA</t>
  </si>
  <si>
    <t>8708941299</t>
  </si>
  <si>
    <t>5.5</t>
  </si>
  <si>
    <t>5HYV-151900-6001</t>
  </si>
  <si>
    <t>VEHICLE CONTROL UNIT</t>
  </si>
  <si>
    <t>MODULO DE CONTROL</t>
  </si>
  <si>
    <t>8537109999</t>
  </si>
  <si>
    <t>0.46</t>
  </si>
  <si>
    <t>5HYV-152800-6000</t>
  </si>
  <si>
    <t>E-THROTTLE PEDAL</t>
  </si>
  <si>
    <t>PEDAL</t>
  </si>
  <si>
    <t>0.595</t>
  </si>
  <si>
    <t>5HYV-155200-6000-M1</t>
  </si>
  <si>
    <t>SOUND AMPLIFIER</t>
  </si>
  <si>
    <t>ALTAVOCES</t>
  </si>
  <si>
    <t>8518220299</t>
  </si>
  <si>
    <t>0</t>
  </si>
  <si>
    <t>1931R825034758</t>
  </si>
  <si>
    <t>1.58</t>
  </si>
  <si>
    <t>5HYV-160115-6000</t>
  </si>
  <si>
    <t>LH HIGH-BEAM</t>
  </si>
  <si>
    <t>REFLECTOR DE USO AUTOMOTRIZ</t>
  </si>
  <si>
    <t>3926300299</t>
  </si>
  <si>
    <t>5HYV-160116-6000</t>
  </si>
  <si>
    <t>RH HIGH-BEAM</t>
  </si>
  <si>
    <t>5HYV-160410-6000</t>
  </si>
  <si>
    <t>FRONT LH POSITION LIGHT</t>
  </si>
  <si>
    <t>LUCES AUTOMOTRIZ</t>
  </si>
  <si>
    <t>8512209900</t>
  </si>
  <si>
    <t>0.31</t>
  </si>
  <si>
    <t>5HYV-181100-6001</t>
  </si>
  <si>
    <t>COOLING MODULE</t>
  </si>
  <si>
    <t>SISTEMA DE REFRIGERACION</t>
  </si>
  <si>
    <t>8708919900</t>
  </si>
  <si>
    <t>4.35</t>
  </si>
  <si>
    <t>5HYV-182040-6000</t>
  </si>
  <si>
    <t>RADIATOR INLET PIPE</t>
  </si>
  <si>
    <t>TUBO DE CAUCHO</t>
  </si>
  <si>
    <t>4009310602</t>
  </si>
  <si>
    <t>0.118</t>
  </si>
  <si>
    <t>5HYV-182050-6000</t>
  </si>
  <si>
    <t>ENGINE WATER INTLET PIPE</t>
  </si>
  <si>
    <t>0.378</t>
  </si>
  <si>
    <t>5HYV-182500-6000</t>
  </si>
  <si>
    <t>CONNECTING TUBE 1</t>
  </si>
  <si>
    <t>0.418</t>
  </si>
  <si>
    <t>5HYV-183500-6000</t>
  </si>
  <si>
    <t>CONNECTING ALUM PIPE 1</t>
  </si>
  <si>
    <t>0.194</t>
  </si>
  <si>
    <t>5HYV-223022-6000-0BM00</t>
  </si>
  <si>
    <t>CARGO BOX LH DECO PLATE</t>
  </si>
  <si>
    <t>0.567</t>
  </si>
  <si>
    <t>5HYV-223022-6000-0K100</t>
  </si>
  <si>
    <t>5HYV-223022-6000-0RT00</t>
  </si>
  <si>
    <t>5HYV-223024-6000-0BM00</t>
  </si>
  <si>
    <t>CARGO BOX RH DECO PLATE</t>
  </si>
  <si>
    <t>5HYV-223024-6000-0RT00</t>
  </si>
  <si>
    <t>5HYV-231101-6001-0BP00</t>
  </si>
  <si>
    <t>BUMPER</t>
  </si>
  <si>
    <t>PARACHOQUES</t>
  </si>
  <si>
    <t>8708109900</t>
  </si>
  <si>
    <t xml:space="preserve">3 </t>
  </si>
  <si>
    <t>1931R825050493</t>
  </si>
  <si>
    <t>2.4</t>
  </si>
  <si>
    <t>5HYV-450150-6000</t>
  </si>
  <si>
    <t>FRONT LH SUSPENSION ASSY</t>
  </si>
  <si>
    <t>1.05</t>
  </si>
  <si>
    <t>5SYV-043013-8002</t>
  </si>
  <si>
    <t>STORAGE BOX</t>
  </si>
  <si>
    <t>5SYV-081000-8003</t>
  </si>
  <si>
    <t>HYDRAULIC BRAKE ASSY</t>
  </si>
  <si>
    <t>SISTEMA PARA FRENO HIDRAULICO</t>
  </si>
  <si>
    <t>8708309901</t>
  </si>
  <si>
    <t>12.92</t>
  </si>
  <si>
    <t>5SYV-150100-1900</t>
  </si>
  <si>
    <t>MAIN CABLE</t>
  </si>
  <si>
    <t>ARNES PARA USO AUTOMOTRIZ</t>
  </si>
  <si>
    <t>8544309901</t>
  </si>
  <si>
    <t>Ex. Excepto: Arneses reconocibles como diseñados exclusivamente para uso automotriz.</t>
  </si>
  <si>
    <t>1931R825050647</t>
  </si>
  <si>
    <t>26.2</t>
  </si>
  <si>
    <t>5SYV-183050-8000</t>
  </si>
  <si>
    <t>ENGINE INLET ALUM PIPE</t>
  </si>
  <si>
    <t>TUBERIA PERFORMADA PARA AUTOMOVIL</t>
  </si>
  <si>
    <t>0.363</t>
  </si>
  <si>
    <t>5SYV-183520A</t>
  </si>
  <si>
    <t>CONNECTING ALU PIPE 3  ASSY</t>
  </si>
  <si>
    <t>0.636</t>
  </si>
  <si>
    <t>5SYV-230700-8002-0BP00</t>
  </si>
  <si>
    <t>LH CONNECTING BEAM ASSY</t>
  </si>
  <si>
    <t>PARTE DEL CHASIS</t>
  </si>
  <si>
    <t>3.64</t>
  </si>
  <si>
    <t>5SYV-230800-8002-0BP00</t>
  </si>
  <si>
    <t>RH CONNECTING GIRDER ASSY</t>
  </si>
  <si>
    <t>5SYV-290100-8001</t>
  </si>
  <si>
    <t>FRONT DRIVE SHAFT</t>
  </si>
  <si>
    <t>10.249</t>
  </si>
  <si>
    <t>5SYV-341100-8000</t>
  </si>
  <si>
    <t>DRIVER SEAT BELT ASSY</t>
  </si>
  <si>
    <t>CINTURON DE SEGURIDAD</t>
  </si>
  <si>
    <t>8708210100</t>
  </si>
  <si>
    <t>1.635</t>
  </si>
  <si>
    <t>5SYV-341400-8000</t>
  </si>
  <si>
    <t>REAR ROW LH PASSENGER SAFETY BELT ASSY</t>
  </si>
  <si>
    <t>1.485</t>
  </si>
  <si>
    <t>5SYV-380101-1500-13</t>
  </si>
  <si>
    <t>OWNERS MANUAL</t>
  </si>
  <si>
    <t>MANUAL DE USUARIO</t>
  </si>
  <si>
    <t>4901999100</t>
  </si>
  <si>
    <t>0.25</t>
  </si>
  <si>
    <t>8030-040800-00001</t>
  </si>
  <si>
    <t>NUT CLIP M6</t>
  </si>
  <si>
    <t>TUERCA</t>
  </si>
  <si>
    <t>7318160603</t>
  </si>
  <si>
    <t>1931R825050547</t>
  </si>
  <si>
    <t>9AWV-160112-8002</t>
  </si>
  <si>
    <t>RH HEADLIGHT</t>
  </si>
  <si>
    <t>FARO</t>
  </si>
  <si>
    <t>0.43</t>
  </si>
  <si>
    <t>TBT054</t>
  </si>
  <si>
    <t>PACKAGING IRON FRAME</t>
  </si>
  <si>
    <t>EMBALAJE METALICO</t>
  </si>
  <si>
    <t>7326909999</t>
  </si>
  <si>
    <t>25.8</t>
  </si>
  <si>
    <t>A1</t>
  </si>
  <si>
    <t>TBT070</t>
  </si>
  <si>
    <t>25.2</t>
  </si>
  <si>
    <t>TBT085</t>
  </si>
  <si>
    <t>155</t>
  </si>
  <si>
    <t>INCOTERM:CIF MANZANILLO</t>
  </si>
  <si>
    <t>PCS</t>
  </si>
  <si>
    <t>SAY TOTAL US DOLLAR EIGHTY FOUR THOUSAND FIVE HUNDRED NINETY FOUR AND SIX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</si>
</sst>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9" x14ac:knownFonts="1">
    <font>
      <sz val="11"/>
      <color indexed="8"/>
      <name val="Calibri"/>
      <family val="2"/>
      <charset val="1"/>
      <scheme val="minor"/>
    </font>
    <font>
      <b/>
      <sz val="17"/>
      <color rgb="FF000000"/>
      <name val="Calibri"/>
      <family val="2"/>
    </font>
    <font>
      <sz val="9"/>
      <color rgb="FF000000"/>
      <name val="SimHei"/>
      <family val="3"/>
      <charset val="134"/>
    </font>
    <font>
      <b/>
      <sz val="12"/>
      <color rgb="FF000000"/>
      <name val="Calibri"/>
      <family val="2"/>
    </font>
    <font>
      <b/>
      <u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1</xdr:col>
      <xdr:colOff>123824</xdr:colOff>
      <xdr:row>2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04775"/>
          <a:ext cx="638174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zoomScale="55" zoomScaleNormal="55" workbookViewId="0">
      <selection activeCell="G9" sqref="G9"/>
    </sheetView>
  </sheetViews>
  <sheetFormatPr baseColWidth="10" defaultColWidth="10.1640625" defaultRowHeight="15" x14ac:dyDescent="0.2"/>
  <cols>
    <col min="1" max="1" width="24.83203125" customWidth="1"/>
    <col min="2" max="2" width="18.5" customWidth="1"/>
    <col min="3" max="3" width="25.83203125" customWidth="1"/>
    <col min="4" max="4" width="45.6640625" customWidth="1"/>
    <col min="5" max="5" width="15.83203125" customWidth="1"/>
    <col min="6" max="7" width="16.33203125" customWidth="1"/>
    <col min="8" max="8" width="9.6640625" customWidth="1"/>
    <col min="9" max="9" width="32.83203125" customWidth="1"/>
    <col min="10" max="10" width="8" customWidth="1"/>
    <col min="11" max="11" width="11.83203125" customWidth="1"/>
    <col min="12" max="12" width="14.5" customWidth="1"/>
    <col min="13" max="13" width="19" customWidth="1"/>
    <col min="14" max="15" width="9.6640625" customWidth="1"/>
  </cols>
  <sheetData>
    <row r="1" spans="1:14" ht="23.5" customHeight="1" x14ac:dyDescent="0.2">
      <c r="A1" s="13" t="s">
        <v>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</row>
    <row r="2" spans="1:14" ht="15.75" customHeight="1" x14ac:dyDescent="0.2">
      <c r="A2" s="14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"/>
    </row>
    <row r="3" spans="1:14" ht="15.75" customHeight="1" x14ac:dyDescent="0.2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</row>
    <row r="4" spans="1:14" ht="15.75" customHeight="1" x14ac:dyDescent="0.2">
      <c r="A4" s="14" t="s">
        <v>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"/>
    </row>
    <row r="5" spans="1:14" ht="15.75" customHeight="1" x14ac:dyDescent="0.2">
      <c r="A5" s="2"/>
      <c r="N5" s="1"/>
    </row>
    <row r="6" spans="1:14" ht="18.75" customHeight="1" x14ac:dyDescent="0.2">
      <c r="A6" s="15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"/>
    </row>
    <row r="7" spans="1:14" ht="17.25" customHeight="1" x14ac:dyDescent="0.2">
      <c r="N7" s="1"/>
    </row>
    <row r="8" spans="1:14" ht="17.25" customHeight="1" x14ac:dyDescent="0.2">
      <c r="A8" s="11" t="s">
        <v>0</v>
      </c>
      <c r="B8" s="11"/>
      <c r="C8" s="11"/>
      <c r="D8" s="11" t="s">
        <v>1</v>
      </c>
      <c r="E8" s="11"/>
      <c r="F8" s="11"/>
      <c r="I8" s="3" t="s">
        <v>7</v>
      </c>
      <c r="N8" s="1"/>
    </row>
    <row r="9" spans="1:14" ht="15" customHeight="1" x14ac:dyDescent="0.2">
      <c r="A9" s="11"/>
      <c r="B9" s="11"/>
      <c r="C9" s="11"/>
      <c r="D9" s="11"/>
      <c r="E9" s="11"/>
      <c r="F9" s="11"/>
      <c r="I9" s="3" t="s">
        <v>8</v>
      </c>
      <c r="N9" s="1"/>
    </row>
    <row r="10" spans="1:14" ht="15" customHeight="1" x14ac:dyDescent="0.2">
      <c r="A10" s="11"/>
      <c r="B10" s="11"/>
      <c r="C10" s="11"/>
      <c r="D10" s="11"/>
      <c r="E10" s="11"/>
      <c r="F10" s="11"/>
      <c r="I10" s="3" t="s">
        <v>9</v>
      </c>
      <c r="N10" s="1"/>
    </row>
    <row r="11" spans="1:14" ht="15" customHeight="1" x14ac:dyDescent="0.2">
      <c r="A11" s="11"/>
      <c r="B11" s="11"/>
      <c r="C11" s="11"/>
      <c r="D11" s="11"/>
      <c r="E11" s="11"/>
      <c r="F11" s="11"/>
      <c r="I11" s="3" t="s">
        <v>10</v>
      </c>
      <c r="N11" s="1"/>
    </row>
    <row r="12" spans="1:14" ht="15" customHeight="1" x14ac:dyDescent="0.2">
      <c r="A12" s="11"/>
      <c r="B12" s="11"/>
      <c r="C12" s="11"/>
      <c r="D12" s="11"/>
      <c r="E12" s="11"/>
      <c r="F12" s="11"/>
      <c r="I12" s="3" t="s">
        <v>11</v>
      </c>
      <c r="N12" s="1"/>
    </row>
    <row r="13" spans="1:14" ht="15" customHeight="1" x14ac:dyDescent="0.2">
      <c r="A13" s="11"/>
      <c r="B13" s="11"/>
      <c r="C13" s="11"/>
      <c r="D13" s="11"/>
      <c r="E13" s="11"/>
      <c r="F13" s="11"/>
      <c r="N13" s="1"/>
    </row>
    <row r="14" spans="1:14" ht="15" customHeight="1" x14ac:dyDescent="0.2">
      <c r="A14" s="11"/>
      <c r="B14" s="11"/>
      <c r="C14" s="11"/>
      <c r="D14" s="11"/>
      <c r="E14" s="11"/>
      <c r="F14" s="11"/>
      <c r="N14" s="1"/>
    </row>
    <row r="15" spans="1:14" ht="14.25" customHeight="1" x14ac:dyDescent="0.2">
      <c r="A15" s="3" t="s">
        <v>12</v>
      </c>
      <c r="N15" s="1"/>
    </row>
    <row r="16" spans="1:14" ht="15" customHeight="1" x14ac:dyDescent="0.2">
      <c r="A16" s="3" t="s">
        <v>13</v>
      </c>
      <c r="N16" s="1"/>
    </row>
    <row r="17" spans="1:14" ht="14.25" customHeight="1" x14ac:dyDescent="0.2">
      <c r="A17" s="2"/>
      <c r="N17" s="1"/>
    </row>
    <row r="18" spans="1:14" ht="31" customHeight="1" x14ac:dyDescent="0.2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 t="s">
        <v>26</v>
      </c>
      <c r="N18" s="4" t="s">
        <v>27</v>
      </c>
    </row>
    <row r="19" spans="1:14" ht="25.75" customHeight="1" x14ac:dyDescent="0.2">
      <c r="A19" s="5">
        <v>1</v>
      </c>
      <c r="B19" s="5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/>
      <c r="H19" s="6"/>
      <c r="I19" s="5">
        <v>136</v>
      </c>
      <c r="J19" s="5" t="s">
        <v>33</v>
      </c>
      <c r="K19" s="6" t="s">
        <v>34</v>
      </c>
      <c r="L19" s="5">
        <v>4.53</v>
      </c>
      <c r="M19" s="7">
        <v>616.08000000000004</v>
      </c>
      <c r="N19" s="5" t="s">
        <v>35</v>
      </c>
    </row>
    <row r="20" spans="1:14" ht="38.5" customHeight="1" x14ac:dyDescent="0.2">
      <c r="A20" s="5">
        <v>2</v>
      </c>
      <c r="B20" s="5" t="s">
        <v>28</v>
      </c>
      <c r="C20" s="6" t="s">
        <v>36</v>
      </c>
      <c r="D20" s="6" t="s">
        <v>37</v>
      </c>
      <c r="E20" s="6" t="s">
        <v>38</v>
      </c>
      <c r="F20" s="6" t="s">
        <v>39</v>
      </c>
      <c r="G20" s="6"/>
      <c r="H20" s="6" t="s">
        <v>40</v>
      </c>
      <c r="I20" s="5">
        <v>2168</v>
      </c>
      <c r="J20" s="5" t="s">
        <v>33</v>
      </c>
      <c r="K20" s="6" t="s">
        <v>41</v>
      </c>
      <c r="L20" s="5">
        <v>0.02</v>
      </c>
      <c r="M20" s="7">
        <v>43.36</v>
      </c>
      <c r="N20" s="5" t="s">
        <v>35</v>
      </c>
    </row>
    <row r="21" spans="1:14" ht="38.5" customHeight="1" x14ac:dyDescent="0.2">
      <c r="A21" s="5">
        <v>3</v>
      </c>
      <c r="B21" s="5" t="s">
        <v>28</v>
      </c>
      <c r="C21" s="6" t="s">
        <v>42</v>
      </c>
      <c r="D21" s="6" t="s">
        <v>37</v>
      </c>
      <c r="E21" s="6" t="s">
        <v>38</v>
      </c>
      <c r="F21" s="6" t="s">
        <v>39</v>
      </c>
      <c r="G21" s="6"/>
      <c r="H21" s="6" t="s">
        <v>40</v>
      </c>
      <c r="I21" s="5">
        <v>2400</v>
      </c>
      <c r="J21" s="5" t="s">
        <v>33</v>
      </c>
      <c r="K21" s="6" t="s">
        <v>43</v>
      </c>
      <c r="L21" s="5">
        <v>0.03</v>
      </c>
      <c r="M21" s="7">
        <v>72</v>
      </c>
      <c r="N21" s="5" t="s">
        <v>35</v>
      </c>
    </row>
    <row r="22" spans="1:14" ht="38.5" customHeight="1" x14ac:dyDescent="0.2">
      <c r="A22" s="5">
        <v>4</v>
      </c>
      <c r="B22" s="5" t="s">
        <v>28</v>
      </c>
      <c r="C22" s="6" t="s">
        <v>44</v>
      </c>
      <c r="D22" s="6" t="s">
        <v>37</v>
      </c>
      <c r="E22" s="6" t="s">
        <v>38</v>
      </c>
      <c r="F22" s="6" t="s">
        <v>39</v>
      </c>
      <c r="G22" s="6"/>
      <c r="H22" s="6" t="s">
        <v>40</v>
      </c>
      <c r="I22" s="5">
        <v>1400</v>
      </c>
      <c r="J22" s="5" t="s">
        <v>33</v>
      </c>
      <c r="K22" s="6" t="s">
        <v>45</v>
      </c>
      <c r="L22" s="5">
        <v>0.03</v>
      </c>
      <c r="M22" s="7">
        <v>42</v>
      </c>
      <c r="N22" s="5" t="s">
        <v>35</v>
      </c>
    </row>
    <row r="23" spans="1:14" ht="38.5" customHeight="1" x14ac:dyDescent="0.2">
      <c r="A23" s="5">
        <v>5</v>
      </c>
      <c r="B23" s="5" t="s">
        <v>28</v>
      </c>
      <c r="C23" s="6" t="s">
        <v>46</v>
      </c>
      <c r="D23" s="6" t="s">
        <v>47</v>
      </c>
      <c r="E23" s="6" t="s">
        <v>48</v>
      </c>
      <c r="F23" s="6" t="s">
        <v>39</v>
      </c>
      <c r="G23" s="6"/>
      <c r="H23" s="6" t="s">
        <v>40</v>
      </c>
      <c r="I23" s="5">
        <v>158</v>
      </c>
      <c r="J23" s="5" t="s">
        <v>33</v>
      </c>
      <c r="K23" s="6" t="s">
        <v>49</v>
      </c>
      <c r="L23" s="5">
        <v>0.14000000000000001</v>
      </c>
      <c r="M23" s="7">
        <v>22.12</v>
      </c>
      <c r="N23" s="5" t="s">
        <v>35</v>
      </c>
    </row>
    <row r="24" spans="1:14" ht="25.75" customHeight="1" x14ac:dyDescent="0.2">
      <c r="A24" s="5">
        <v>6</v>
      </c>
      <c r="B24" s="5" t="s">
        <v>28</v>
      </c>
      <c r="C24" s="6" t="s">
        <v>50</v>
      </c>
      <c r="D24" s="6" t="s">
        <v>51</v>
      </c>
      <c r="E24" s="6" t="s">
        <v>52</v>
      </c>
      <c r="F24" s="6" t="s">
        <v>53</v>
      </c>
      <c r="G24" s="6" t="s">
        <v>54</v>
      </c>
      <c r="H24" s="6"/>
      <c r="I24" s="5">
        <v>126</v>
      </c>
      <c r="J24" s="5" t="s">
        <v>33</v>
      </c>
      <c r="K24" s="6" t="s">
        <v>55</v>
      </c>
      <c r="L24" s="5">
        <v>36.64</v>
      </c>
      <c r="M24" s="7">
        <v>4616.6400000000003</v>
      </c>
      <c r="N24" s="5" t="s">
        <v>35</v>
      </c>
    </row>
    <row r="25" spans="1:14" ht="38.5" customHeight="1" x14ac:dyDescent="0.2">
      <c r="A25" s="5">
        <v>7</v>
      </c>
      <c r="B25" s="5" t="s">
        <v>28</v>
      </c>
      <c r="C25" s="6" t="s">
        <v>56</v>
      </c>
      <c r="D25" s="6" t="s">
        <v>57</v>
      </c>
      <c r="E25" s="6" t="s">
        <v>58</v>
      </c>
      <c r="F25" s="6" t="s">
        <v>59</v>
      </c>
      <c r="G25" s="6"/>
      <c r="H25" s="6"/>
      <c r="I25" s="5">
        <v>25</v>
      </c>
      <c r="J25" s="5" t="s">
        <v>33</v>
      </c>
      <c r="K25" s="6" t="s">
        <v>60</v>
      </c>
      <c r="L25" s="5">
        <v>3.1</v>
      </c>
      <c r="M25" s="7">
        <v>77.5</v>
      </c>
      <c r="N25" s="5" t="s">
        <v>35</v>
      </c>
    </row>
    <row r="26" spans="1:14" ht="25.75" customHeight="1" x14ac:dyDescent="0.2">
      <c r="A26" s="5">
        <v>8</v>
      </c>
      <c r="B26" s="5" t="s">
        <v>28</v>
      </c>
      <c r="C26" s="6" t="s">
        <v>61</v>
      </c>
      <c r="D26" s="6" t="s">
        <v>62</v>
      </c>
      <c r="E26" s="6" t="s">
        <v>63</v>
      </c>
      <c r="F26" s="6" t="s">
        <v>64</v>
      </c>
      <c r="G26" s="6"/>
      <c r="H26" s="6"/>
      <c r="I26" s="5">
        <v>136</v>
      </c>
      <c r="J26" s="5" t="s">
        <v>33</v>
      </c>
      <c r="K26" s="6" t="s">
        <v>65</v>
      </c>
      <c r="L26" s="5">
        <v>7.0000000000000007E-2</v>
      </c>
      <c r="M26" s="7">
        <v>9.52</v>
      </c>
      <c r="N26" s="5" t="s">
        <v>35</v>
      </c>
    </row>
    <row r="27" spans="1:14" ht="25.75" customHeight="1" x14ac:dyDescent="0.2">
      <c r="A27" s="5">
        <v>9</v>
      </c>
      <c r="B27" s="5" t="s">
        <v>28</v>
      </c>
      <c r="C27" s="6" t="s">
        <v>66</v>
      </c>
      <c r="D27" s="6" t="s">
        <v>67</v>
      </c>
      <c r="E27" s="6" t="s">
        <v>31</v>
      </c>
      <c r="F27" s="6" t="s">
        <v>32</v>
      </c>
      <c r="G27" s="6"/>
      <c r="H27" s="6"/>
      <c r="I27" s="5">
        <v>60</v>
      </c>
      <c r="J27" s="5" t="s">
        <v>33</v>
      </c>
      <c r="K27" s="6" t="s">
        <v>68</v>
      </c>
      <c r="L27" s="5">
        <v>2.7</v>
      </c>
      <c r="M27" s="7">
        <v>162</v>
      </c>
      <c r="N27" s="5" t="s">
        <v>35</v>
      </c>
    </row>
    <row r="28" spans="1:14" ht="25.75" customHeight="1" x14ac:dyDescent="0.2">
      <c r="A28" s="5">
        <v>10</v>
      </c>
      <c r="B28" s="5" t="s">
        <v>28</v>
      </c>
      <c r="C28" s="6" t="s">
        <v>69</v>
      </c>
      <c r="D28" s="6" t="s">
        <v>70</v>
      </c>
      <c r="E28" s="6" t="s">
        <v>31</v>
      </c>
      <c r="F28" s="6" t="s">
        <v>32</v>
      </c>
      <c r="G28" s="6"/>
      <c r="H28" s="6"/>
      <c r="I28" s="5">
        <v>90</v>
      </c>
      <c r="J28" s="5" t="s">
        <v>33</v>
      </c>
      <c r="K28" s="6" t="s">
        <v>71</v>
      </c>
      <c r="L28" s="5">
        <v>2.78</v>
      </c>
      <c r="M28" s="7">
        <v>250.2</v>
      </c>
      <c r="N28" s="5" t="s">
        <v>35</v>
      </c>
    </row>
    <row r="29" spans="1:14" ht="25.75" customHeight="1" x14ac:dyDescent="0.2">
      <c r="A29" s="5">
        <v>11</v>
      </c>
      <c r="B29" s="5" t="s">
        <v>28</v>
      </c>
      <c r="C29" s="6" t="s">
        <v>72</v>
      </c>
      <c r="D29" s="6" t="s">
        <v>73</v>
      </c>
      <c r="E29" s="6" t="s">
        <v>74</v>
      </c>
      <c r="F29" s="6" t="s">
        <v>75</v>
      </c>
      <c r="G29" s="6" t="s">
        <v>54</v>
      </c>
      <c r="H29" s="6"/>
      <c r="I29" s="5">
        <v>54</v>
      </c>
      <c r="J29" s="5" t="s">
        <v>33</v>
      </c>
      <c r="K29" s="6" t="s">
        <v>76</v>
      </c>
      <c r="L29" s="5">
        <v>3.17</v>
      </c>
      <c r="M29" s="7">
        <v>171.18</v>
      </c>
      <c r="N29" s="5" t="s">
        <v>35</v>
      </c>
    </row>
    <row r="30" spans="1:14" ht="25.75" customHeight="1" x14ac:dyDescent="0.2">
      <c r="A30" s="5">
        <v>12</v>
      </c>
      <c r="B30" s="5" t="s">
        <v>28</v>
      </c>
      <c r="C30" s="6" t="s">
        <v>77</v>
      </c>
      <c r="D30" s="6" t="s">
        <v>73</v>
      </c>
      <c r="E30" s="6" t="s">
        <v>74</v>
      </c>
      <c r="F30" s="6" t="s">
        <v>75</v>
      </c>
      <c r="G30" s="6" t="s">
        <v>54</v>
      </c>
      <c r="H30" s="6"/>
      <c r="I30" s="5">
        <v>30</v>
      </c>
      <c r="J30" s="5" t="s">
        <v>33</v>
      </c>
      <c r="K30" s="6" t="s">
        <v>76</v>
      </c>
      <c r="L30" s="5">
        <v>6.89</v>
      </c>
      <c r="M30" s="7">
        <v>206.7</v>
      </c>
      <c r="N30" s="5" t="s">
        <v>35</v>
      </c>
    </row>
    <row r="31" spans="1:14" ht="25.75" customHeight="1" x14ac:dyDescent="0.2">
      <c r="A31" s="5">
        <v>13</v>
      </c>
      <c r="B31" s="5" t="s">
        <v>28</v>
      </c>
      <c r="C31" s="6" t="s">
        <v>78</v>
      </c>
      <c r="D31" s="6" t="s">
        <v>73</v>
      </c>
      <c r="E31" s="6" t="s">
        <v>74</v>
      </c>
      <c r="F31" s="6" t="s">
        <v>75</v>
      </c>
      <c r="G31" s="6" t="s">
        <v>54</v>
      </c>
      <c r="H31" s="6"/>
      <c r="I31" s="5">
        <v>24</v>
      </c>
      <c r="J31" s="5" t="s">
        <v>33</v>
      </c>
      <c r="K31" s="6" t="s">
        <v>76</v>
      </c>
      <c r="L31" s="5">
        <v>3.97</v>
      </c>
      <c r="M31" s="7">
        <v>95.28</v>
      </c>
      <c r="N31" s="5" t="s">
        <v>35</v>
      </c>
    </row>
    <row r="32" spans="1:14" ht="25.75" customHeight="1" x14ac:dyDescent="0.2">
      <c r="A32" s="5">
        <v>14</v>
      </c>
      <c r="B32" s="5" t="s">
        <v>28</v>
      </c>
      <c r="C32" s="6" t="s">
        <v>79</v>
      </c>
      <c r="D32" s="6" t="s">
        <v>80</v>
      </c>
      <c r="E32" s="6" t="s">
        <v>74</v>
      </c>
      <c r="F32" s="6" t="s">
        <v>75</v>
      </c>
      <c r="G32" s="6" t="s">
        <v>54</v>
      </c>
      <c r="H32" s="6"/>
      <c r="I32" s="5">
        <v>44</v>
      </c>
      <c r="J32" s="5" t="s">
        <v>33</v>
      </c>
      <c r="K32" s="6" t="s">
        <v>76</v>
      </c>
      <c r="L32" s="5">
        <v>3.17</v>
      </c>
      <c r="M32" s="7">
        <v>139.47999999999999</v>
      </c>
      <c r="N32" s="5" t="s">
        <v>35</v>
      </c>
    </row>
    <row r="33" spans="1:14" ht="25.75" customHeight="1" x14ac:dyDescent="0.2">
      <c r="A33" s="5">
        <v>15</v>
      </c>
      <c r="B33" s="5" t="s">
        <v>28</v>
      </c>
      <c r="C33" s="6" t="s">
        <v>81</v>
      </c>
      <c r="D33" s="6" t="s">
        <v>80</v>
      </c>
      <c r="E33" s="6" t="s">
        <v>74</v>
      </c>
      <c r="F33" s="6" t="s">
        <v>75</v>
      </c>
      <c r="G33" s="6" t="s">
        <v>54</v>
      </c>
      <c r="H33" s="6"/>
      <c r="I33" s="5">
        <v>50</v>
      </c>
      <c r="J33" s="5" t="s">
        <v>33</v>
      </c>
      <c r="K33" s="6" t="s">
        <v>76</v>
      </c>
      <c r="L33" s="5">
        <v>6.89</v>
      </c>
      <c r="M33" s="7">
        <v>344.5</v>
      </c>
      <c r="N33" s="5" t="s">
        <v>35</v>
      </c>
    </row>
    <row r="34" spans="1:14" ht="25.75" customHeight="1" x14ac:dyDescent="0.2">
      <c r="A34" s="5">
        <v>16</v>
      </c>
      <c r="B34" s="5" t="s">
        <v>28</v>
      </c>
      <c r="C34" s="6" t="s">
        <v>82</v>
      </c>
      <c r="D34" s="6" t="s">
        <v>80</v>
      </c>
      <c r="E34" s="6" t="s">
        <v>74</v>
      </c>
      <c r="F34" s="6" t="s">
        <v>75</v>
      </c>
      <c r="G34" s="6" t="s">
        <v>54</v>
      </c>
      <c r="H34" s="6"/>
      <c r="I34" s="5">
        <v>24</v>
      </c>
      <c r="J34" s="5" t="s">
        <v>33</v>
      </c>
      <c r="K34" s="6" t="s">
        <v>76</v>
      </c>
      <c r="L34" s="5">
        <v>3.97</v>
      </c>
      <c r="M34" s="7">
        <v>95.28</v>
      </c>
      <c r="N34" s="5" t="s">
        <v>35</v>
      </c>
    </row>
    <row r="35" spans="1:14" ht="25.75" customHeight="1" x14ac:dyDescent="0.2">
      <c r="A35" s="5">
        <v>17</v>
      </c>
      <c r="B35" s="5" t="s">
        <v>28</v>
      </c>
      <c r="C35" s="6" t="s">
        <v>83</v>
      </c>
      <c r="D35" s="6" t="s">
        <v>84</v>
      </c>
      <c r="E35" s="6" t="s">
        <v>85</v>
      </c>
      <c r="F35" s="6" t="s">
        <v>86</v>
      </c>
      <c r="G35" s="6" t="s">
        <v>54</v>
      </c>
      <c r="H35" s="6"/>
      <c r="I35" s="5">
        <v>90</v>
      </c>
      <c r="J35" s="5" t="s">
        <v>33</v>
      </c>
      <c r="K35" s="6" t="s">
        <v>87</v>
      </c>
      <c r="L35" s="5">
        <v>12.78</v>
      </c>
      <c r="M35" s="7">
        <v>1150.2</v>
      </c>
      <c r="N35" s="5" t="s">
        <v>35</v>
      </c>
    </row>
    <row r="36" spans="1:14" ht="25.75" customHeight="1" x14ac:dyDescent="0.2">
      <c r="A36" s="5">
        <v>18</v>
      </c>
      <c r="B36" s="5" t="s">
        <v>28</v>
      </c>
      <c r="C36" s="6" t="s">
        <v>88</v>
      </c>
      <c r="D36" s="6" t="s">
        <v>89</v>
      </c>
      <c r="E36" s="6" t="s">
        <v>85</v>
      </c>
      <c r="F36" s="6" t="s">
        <v>86</v>
      </c>
      <c r="G36" s="6" t="s">
        <v>54</v>
      </c>
      <c r="H36" s="6"/>
      <c r="I36" s="5">
        <v>54</v>
      </c>
      <c r="J36" s="5" t="s">
        <v>33</v>
      </c>
      <c r="K36" s="6" t="s">
        <v>90</v>
      </c>
      <c r="L36" s="5">
        <v>16.7</v>
      </c>
      <c r="M36" s="7">
        <v>901.8</v>
      </c>
      <c r="N36" s="5" t="s">
        <v>35</v>
      </c>
    </row>
    <row r="37" spans="1:14" ht="25.75" customHeight="1" x14ac:dyDescent="0.2">
      <c r="A37" s="5">
        <v>19</v>
      </c>
      <c r="B37" s="5" t="s">
        <v>28</v>
      </c>
      <c r="C37" s="6" t="s">
        <v>91</v>
      </c>
      <c r="D37" s="6" t="s">
        <v>92</v>
      </c>
      <c r="E37" s="6" t="s">
        <v>93</v>
      </c>
      <c r="F37" s="6" t="s">
        <v>94</v>
      </c>
      <c r="G37" s="6" t="s">
        <v>54</v>
      </c>
      <c r="H37" s="6"/>
      <c r="I37" s="5">
        <v>128</v>
      </c>
      <c r="J37" s="5" t="s">
        <v>33</v>
      </c>
      <c r="K37" s="6" t="s">
        <v>95</v>
      </c>
      <c r="L37" s="5">
        <v>4.71</v>
      </c>
      <c r="M37" s="7">
        <v>602.88</v>
      </c>
      <c r="N37" s="5" t="s">
        <v>35</v>
      </c>
    </row>
    <row r="38" spans="1:14" ht="25.75" customHeight="1" x14ac:dyDescent="0.2">
      <c r="A38" s="5">
        <v>20</v>
      </c>
      <c r="B38" s="5" t="s">
        <v>28</v>
      </c>
      <c r="C38" s="6" t="s">
        <v>96</v>
      </c>
      <c r="D38" s="6" t="s">
        <v>97</v>
      </c>
      <c r="E38" s="6" t="s">
        <v>98</v>
      </c>
      <c r="F38" s="6" t="s">
        <v>99</v>
      </c>
      <c r="G38" s="6"/>
      <c r="H38" s="6"/>
      <c r="I38" s="5">
        <v>64</v>
      </c>
      <c r="J38" s="5" t="s">
        <v>33</v>
      </c>
      <c r="K38" s="6" t="s">
        <v>100</v>
      </c>
      <c r="L38" s="5">
        <v>35</v>
      </c>
      <c r="M38" s="7">
        <v>2240</v>
      </c>
      <c r="N38" s="5" t="s">
        <v>35</v>
      </c>
    </row>
    <row r="39" spans="1:14" ht="25.75" customHeight="1" x14ac:dyDescent="0.2">
      <c r="A39" s="5">
        <v>21</v>
      </c>
      <c r="B39" s="5" t="s">
        <v>28</v>
      </c>
      <c r="C39" s="6" t="s">
        <v>101</v>
      </c>
      <c r="D39" s="6" t="s">
        <v>102</v>
      </c>
      <c r="E39" s="6" t="s">
        <v>98</v>
      </c>
      <c r="F39" s="6" t="s">
        <v>99</v>
      </c>
      <c r="G39" s="6"/>
      <c r="H39" s="6"/>
      <c r="I39" s="5">
        <v>8</v>
      </c>
      <c r="J39" s="5" t="s">
        <v>33</v>
      </c>
      <c r="K39" s="6" t="s">
        <v>100</v>
      </c>
      <c r="L39" s="5">
        <v>35</v>
      </c>
      <c r="M39" s="7">
        <v>280</v>
      </c>
      <c r="N39" s="5" t="s">
        <v>35</v>
      </c>
    </row>
    <row r="40" spans="1:14" ht="25.75" customHeight="1" x14ac:dyDescent="0.2">
      <c r="A40" s="5">
        <v>22</v>
      </c>
      <c r="B40" s="5" t="s">
        <v>28</v>
      </c>
      <c r="C40" s="6" t="s">
        <v>103</v>
      </c>
      <c r="D40" s="6" t="s">
        <v>104</v>
      </c>
      <c r="E40" s="6" t="s">
        <v>105</v>
      </c>
      <c r="F40" s="6" t="s">
        <v>106</v>
      </c>
      <c r="G40" s="6"/>
      <c r="H40" s="6"/>
      <c r="I40" s="5">
        <v>63</v>
      </c>
      <c r="J40" s="5" t="s">
        <v>33</v>
      </c>
      <c r="K40" s="6" t="s">
        <v>107</v>
      </c>
      <c r="L40" s="5">
        <v>7.71</v>
      </c>
      <c r="M40" s="7">
        <v>485.73</v>
      </c>
      <c r="N40" s="5" t="s">
        <v>35</v>
      </c>
    </row>
    <row r="41" spans="1:14" ht="25.75" customHeight="1" x14ac:dyDescent="0.2">
      <c r="A41" s="5">
        <v>23</v>
      </c>
      <c r="B41" s="5" t="s">
        <v>28</v>
      </c>
      <c r="C41" s="6" t="s">
        <v>108</v>
      </c>
      <c r="D41" s="6" t="s">
        <v>109</v>
      </c>
      <c r="E41" s="6" t="s">
        <v>105</v>
      </c>
      <c r="F41" s="6" t="s">
        <v>106</v>
      </c>
      <c r="G41" s="6"/>
      <c r="H41" s="6"/>
      <c r="I41" s="5">
        <v>12</v>
      </c>
      <c r="J41" s="5" t="s">
        <v>33</v>
      </c>
      <c r="K41" s="6" t="s">
        <v>110</v>
      </c>
      <c r="L41" s="5">
        <v>19.95</v>
      </c>
      <c r="M41" s="7">
        <v>239.4</v>
      </c>
      <c r="N41" s="5" t="s">
        <v>35</v>
      </c>
    </row>
    <row r="42" spans="1:14" ht="25.75" customHeight="1" x14ac:dyDescent="0.2">
      <c r="A42" s="5">
        <v>24</v>
      </c>
      <c r="B42" s="5" t="s">
        <v>28</v>
      </c>
      <c r="C42" s="6" t="s">
        <v>111</v>
      </c>
      <c r="D42" s="6" t="s">
        <v>112</v>
      </c>
      <c r="E42" s="6" t="s">
        <v>105</v>
      </c>
      <c r="F42" s="6" t="s">
        <v>106</v>
      </c>
      <c r="G42" s="6"/>
      <c r="H42" s="6"/>
      <c r="I42" s="5">
        <v>9</v>
      </c>
      <c r="J42" s="5" t="s">
        <v>33</v>
      </c>
      <c r="K42" s="6" t="s">
        <v>107</v>
      </c>
      <c r="L42" s="5">
        <v>7.71</v>
      </c>
      <c r="M42" s="7">
        <v>69.39</v>
      </c>
      <c r="N42" s="5" t="s">
        <v>35</v>
      </c>
    </row>
    <row r="43" spans="1:14" ht="25.75" customHeight="1" x14ac:dyDescent="0.2">
      <c r="A43" s="5">
        <v>25</v>
      </c>
      <c r="B43" s="5" t="s">
        <v>28</v>
      </c>
      <c r="C43" s="6" t="s">
        <v>113</v>
      </c>
      <c r="D43" s="6" t="s">
        <v>114</v>
      </c>
      <c r="E43" s="6" t="s">
        <v>105</v>
      </c>
      <c r="F43" s="6" t="s">
        <v>106</v>
      </c>
      <c r="G43" s="6"/>
      <c r="H43" s="6"/>
      <c r="I43" s="5">
        <v>76</v>
      </c>
      <c r="J43" s="5" t="s">
        <v>33</v>
      </c>
      <c r="K43" s="6" t="s">
        <v>110</v>
      </c>
      <c r="L43" s="5">
        <v>19.95</v>
      </c>
      <c r="M43" s="7">
        <v>1516.2</v>
      </c>
      <c r="N43" s="5" t="s">
        <v>35</v>
      </c>
    </row>
    <row r="44" spans="1:14" ht="25.75" customHeight="1" x14ac:dyDescent="0.2">
      <c r="A44" s="5">
        <v>26</v>
      </c>
      <c r="B44" s="5" t="s">
        <v>28</v>
      </c>
      <c r="C44" s="6" t="s">
        <v>115</v>
      </c>
      <c r="D44" s="6" t="s">
        <v>116</v>
      </c>
      <c r="E44" s="6" t="s">
        <v>93</v>
      </c>
      <c r="F44" s="6" t="s">
        <v>94</v>
      </c>
      <c r="G44" s="6" t="s">
        <v>54</v>
      </c>
      <c r="H44" s="6"/>
      <c r="I44" s="5">
        <v>128</v>
      </c>
      <c r="J44" s="5" t="s">
        <v>33</v>
      </c>
      <c r="K44" s="6" t="s">
        <v>117</v>
      </c>
      <c r="L44" s="5">
        <v>4.8499999999999996</v>
      </c>
      <c r="M44" s="7">
        <v>620.79999999999995</v>
      </c>
      <c r="N44" s="5" t="s">
        <v>35</v>
      </c>
    </row>
    <row r="45" spans="1:14" ht="166.5" customHeight="1" x14ac:dyDescent="0.2">
      <c r="A45" s="5">
        <v>27</v>
      </c>
      <c r="B45" s="5" t="s">
        <v>28</v>
      </c>
      <c r="C45" s="6" t="s">
        <v>118</v>
      </c>
      <c r="D45" s="6" t="s">
        <v>119</v>
      </c>
      <c r="E45" s="6" t="s">
        <v>120</v>
      </c>
      <c r="F45" s="6" t="s">
        <v>121</v>
      </c>
      <c r="G45" s="6" t="s">
        <v>122</v>
      </c>
      <c r="H45" s="6" t="s">
        <v>123</v>
      </c>
      <c r="I45" s="5">
        <v>72</v>
      </c>
      <c r="J45" s="5" t="s">
        <v>33</v>
      </c>
      <c r="K45" s="6" t="s">
        <v>124</v>
      </c>
      <c r="L45" s="5">
        <v>67.23</v>
      </c>
      <c r="M45" s="7">
        <v>4840.5600000000004</v>
      </c>
      <c r="N45" s="5" t="s">
        <v>35</v>
      </c>
    </row>
    <row r="46" spans="1:14" ht="25.75" customHeight="1" x14ac:dyDescent="0.2">
      <c r="A46" s="5">
        <v>28</v>
      </c>
      <c r="B46" s="5" t="s">
        <v>28</v>
      </c>
      <c r="C46" s="6" t="s">
        <v>125</v>
      </c>
      <c r="D46" s="6" t="s">
        <v>126</v>
      </c>
      <c r="E46" s="6" t="s">
        <v>74</v>
      </c>
      <c r="F46" s="6" t="s">
        <v>75</v>
      </c>
      <c r="G46" s="6" t="s">
        <v>54</v>
      </c>
      <c r="H46" s="6"/>
      <c r="I46" s="5">
        <v>136</v>
      </c>
      <c r="J46" s="5" t="s">
        <v>33</v>
      </c>
      <c r="K46" s="6" t="s">
        <v>127</v>
      </c>
      <c r="L46" s="5">
        <v>1.01</v>
      </c>
      <c r="M46" s="7">
        <v>137.36000000000001</v>
      </c>
      <c r="N46" s="5" t="s">
        <v>35</v>
      </c>
    </row>
    <row r="47" spans="1:14" ht="25.75" customHeight="1" x14ac:dyDescent="0.2">
      <c r="A47" s="5">
        <v>29</v>
      </c>
      <c r="B47" s="5" t="s">
        <v>28</v>
      </c>
      <c r="C47" s="6" t="s">
        <v>128</v>
      </c>
      <c r="D47" s="6" t="s">
        <v>129</v>
      </c>
      <c r="E47" s="6" t="s">
        <v>105</v>
      </c>
      <c r="F47" s="6" t="s">
        <v>106</v>
      </c>
      <c r="G47" s="6"/>
      <c r="H47" s="6"/>
      <c r="I47" s="5">
        <v>136</v>
      </c>
      <c r="J47" s="5" t="s">
        <v>33</v>
      </c>
      <c r="K47" s="6" t="s">
        <v>130</v>
      </c>
      <c r="L47" s="5">
        <v>33.31</v>
      </c>
      <c r="M47" s="7">
        <v>4530.16</v>
      </c>
      <c r="N47" s="5" t="s">
        <v>35</v>
      </c>
    </row>
    <row r="48" spans="1:14" ht="166.5" customHeight="1" x14ac:dyDescent="0.2">
      <c r="A48" s="5">
        <v>30</v>
      </c>
      <c r="B48" s="5" t="s">
        <v>28</v>
      </c>
      <c r="C48" s="6" t="s">
        <v>131</v>
      </c>
      <c r="D48" s="6" t="s">
        <v>132</v>
      </c>
      <c r="E48" s="6" t="s">
        <v>133</v>
      </c>
      <c r="F48" s="6" t="s">
        <v>134</v>
      </c>
      <c r="G48" s="6" t="s">
        <v>122</v>
      </c>
      <c r="H48" s="6" t="s">
        <v>135</v>
      </c>
      <c r="I48" s="5">
        <v>12</v>
      </c>
      <c r="J48" s="5" t="s">
        <v>33</v>
      </c>
      <c r="K48" s="6" t="s">
        <v>136</v>
      </c>
      <c r="L48" s="5">
        <v>7.53</v>
      </c>
      <c r="M48" s="7">
        <v>90.36</v>
      </c>
      <c r="N48" s="5" t="s">
        <v>35</v>
      </c>
    </row>
    <row r="49" spans="1:14" ht="25.75" customHeight="1" x14ac:dyDescent="0.2">
      <c r="A49" s="5">
        <v>31</v>
      </c>
      <c r="B49" s="5" t="s">
        <v>28</v>
      </c>
      <c r="C49" s="6" t="s">
        <v>137</v>
      </c>
      <c r="D49" s="6" t="s">
        <v>138</v>
      </c>
      <c r="E49" s="6" t="s">
        <v>139</v>
      </c>
      <c r="F49" s="6" t="s">
        <v>140</v>
      </c>
      <c r="G49" s="6"/>
      <c r="H49" s="6"/>
      <c r="I49" s="5">
        <v>80</v>
      </c>
      <c r="J49" s="5" t="s">
        <v>33</v>
      </c>
      <c r="K49" s="6" t="s">
        <v>141</v>
      </c>
      <c r="L49" s="5">
        <v>70.989999999999995</v>
      </c>
      <c r="M49" s="7">
        <v>5679.2</v>
      </c>
      <c r="N49" s="5" t="s">
        <v>35</v>
      </c>
    </row>
    <row r="50" spans="1:14" ht="25.75" customHeight="1" x14ac:dyDescent="0.2">
      <c r="A50" s="5">
        <v>32</v>
      </c>
      <c r="B50" s="5" t="s">
        <v>28</v>
      </c>
      <c r="C50" s="6" t="s">
        <v>142</v>
      </c>
      <c r="D50" s="6" t="s">
        <v>143</v>
      </c>
      <c r="E50" s="6" t="s">
        <v>144</v>
      </c>
      <c r="F50" s="6" t="s">
        <v>145</v>
      </c>
      <c r="G50" s="6"/>
      <c r="H50" s="6"/>
      <c r="I50" s="5">
        <v>24</v>
      </c>
      <c r="J50" s="5" t="s">
        <v>33</v>
      </c>
      <c r="K50" s="6" t="s">
        <v>146</v>
      </c>
      <c r="L50" s="5">
        <v>48.95</v>
      </c>
      <c r="M50" s="7">
        <v>1174.8</v>
      </c>
      <c r="N50" s="5" t="s">
        <v>35</v>
      </c>
    </row>
    <row r="51" spans="1:14" ht="21.75" customHeight="1" x14ac:dyDescent="0.2">
      <c r="A51" s="5">
        <v>33</v>
      </c>
      <c r="B51" s="5" t="s">
        <v>28</v>
      </c>
      <c r="C51" s="6" t="s">
        <v>147</v>
      </c>
      <c r="D51" s="6" t="s">
        <v>148</v>
      </c>
      <c r="E51" s="6" t="s">
        <v>149</v>
      </c>
      <c r="F51" s="6" t="s">
        <v>32</v>
      </c>
      <c r="G51" s="6"/>
      <c r="H51" s="6"/>
      <c r="I51" s="5">
        <v>72</v>
      </c>
      <c r="J51" s="5" t="s">
        <v>33</v>
      </c>
      <c r="K51" s="6" t="s">
        <v>150</v>
      </c>
      <c r="L51" s="5">
        <v>14.31</v>
      </c>
      <c r="M51" s="7">
        <v>1030.32</v>
      </c>
      <c r="N51" s="5" t="s">
        <v>35</v>
      </c>
    </row>
    <row r="52" spans="1:14" ht="25.75" customHeight="1" x14ac:dyDescent="0.2">
      <c r="A52" s="5">
        <v>34</v>
      </c>
      <c r="B52" s="5" t="s">
        <v>28</v>
      </c>
      <c r="C52" s="6" t="s">
        <v>151</v>
      </c>
      <c r="D52" s="6" t="s">
        <v>152</v>
      </c>
      <c r="E52" s="6" t="s">
        <v>153</v>
      </c>
      <c r="F52" s="6" t="s">
        <v>154</v>
      </c>
      <c r="G52" s="6" t="s">
        <v>155</v>
      </c>
      <c r="H52" s="6" t="s">
        <v>156</v>
      </c>
      <c r="I52" s="5">
        <v>20</v>
      </c>
      <c r="J52" s="5" t="s">
        <v>33</v>
      </c>
      <c r="K52" s="6" t="s">
        <v>157</v>
      </c>
      <c r="L52" s="5">
        <v>82.73</v>
      </c>
      <c r="M52" s="7">
        <v>1654.6</v>
      </c>
      <c r="N52" s="5" t="s">
        <v>35</v>
      </c>
    </row>
    <row r="53" spans="1:14" ht="25.75" customHeight="1" x14ac:dyDescent="0.2">
      <c r="A53" s="5">
        <v>35</v>
      </c>
      <c r="B53" s="5" t="s">
        <v>28</v>
      </c>
      <c r="C53" s="6" t="s">
        <v>158</v>
      </c>
      <c r="D53" s="6" t="s">
        <v>159</v>
      </c>
      <c r="E53" s="6" t="s">
        <v>160</v>
      </c>
      <c r="F53" s="6" t="s">
        <v>161</v>
      </c>
      <c r="G53" s="6" t="s">
        <v>54</v>
      </c>
      <c r="H53" s="6"/>
      <c r="I53" s="5">
        <v>128</v>
      </c>
      <c r="J53" s="5" t="s">
        <v>33</v>
      </c>
      <c r="K53" s="6" t="s">
        <v>49</v>
      </c>
      <c r="L53" s="5">
        <v>12.02</v>
      </c>
      <c r="M53" s="7">
        <v>1538.56</v>
      </c>
      <c r="N53" s="5" t="s">
        <v>35</v>
      </c>
    </row>
    <row r="54" spans="1:14" ht="25.75" customHeight="1" x14ac:dyDescent="0.2">
      <c r="A54" s="5">
        <v>36</v>
      </c>
      <c r="B54" s="5" t="s">
        <v>28</v>
      </c>
      <c r="C54" s="6" t="s">
        <v>162</v>
      </c>
      <c r="D54" s="6" t="s">
        <v>163</v>
      </c>
      <c r="E54" s="6" t="s">
        <v>160</v>
      </c>
      <c r="F54" s="6" t="s">
        <v>161</v>
      </c>
      <c r="G54" s="6" t="s">
        <v>54</v>
      </c>
      <c r="H54" s="6"/>
      <c r="I54" s="5">
        <v>128</v>
      </c>
      <c r="J54" s="5" t="s">
        <v>33</v>
      </c>
      <c r="K54" s="6" t="s">
        <v>49</v>
      </c>
      <c r="L54" s="5">
        <v>12.02</v>
      </c>
      <c r="M54" s="7">
        <v>1538.56</v>
      </c>
      <c r="N54" s="5" t="s">
        <v>35</v>
      </c>
    </row>
    <row r="55" spans="1:14" ht="21.75" customHeight="1" x14ac:dyDescent="0.2">
      <c r="A55" s="5">
        <v>37</v>
      </c>
      <c r="B55" s="5" t="s">
        <v>28</v>
      </c>
      <c r="C55" s="6" t="s">
        <v>164</v>
      </c>
      <c r="D55" s="6" t="s">
        <v>165</v>
      </c>
      <c r="E55" s="6" t="s">
        <v>166</v>
      </c>
      <c r="F55" s="6" t="s">
        <v>167</v>
      </c>
      <c r="G55" s="6" t="s">
        <v>54</v>
      </c>
      <c r="H55" s="6"/>
      <c r="I55" s="5">
        <v>16</v>
      </c>
      <c r="J55" s="5" t="s">
        <v>33</v>
      </c>
      <c r="K55" s="6" t="s">
        <v>168</v>
      </c>
      <c r="L55" s="5">
        <v>7.61</v>
      </c>
      <c r="M55" s="7">
        <v>121.76</v>
      </c>
      <c r="N55" s="5" t="s">
        <v>35</v>
      </c>
    </row>
    <row r="56" spans="1:14" ht="25.75" customHeight="1" x14ac:dyDescent="0.2">
      <c r="A56" s="5">
        <v>38</v>
      </c>
      <c r="B56" s="5" t="s">
        <v>28</v>
      </c>
      <c r="C56" s="6" t="s">
        <v>169</v>
      </c>
      <c r="D56" s="6" t="s">
        <v>170</v>
      </c>
      <c r="E56" s="6" t="s">
        <v>171</v>
      </c>
      <c r="F56" s="6" t="s">
        <v>172</v>
      </c>
      <c r="G56" s="6" t="s">
        <v>54</v>
      </c>
      <c r="H56" s="6"/>
      <c r="I56" s="5">
        <v>118</v>
      </c>
      <c r="J56" s="5" t="s">
        <v>33</v>
      </c>
      <c r="K56" s="6" t="s">
        <v>173</v>
      </c>
      <c r="L56" s="5">
        <v>72.599999999999994</v>
      </c>
      <c r="M56" s="7">
        <v>8566.7999999999993</v>
      </c>
      <c r="N56" s="5" t="s">
        <v>35</v>
      </c>
    </row>
    <row r="57" spans="1:14" ht="21.75" customHeight="1" x14ac:dyDescent="0.2">
      <c r="A57" s="5">
        <v>39</v>
      </c>
      <c r="B57" s="5" t="s">
        <v>28</v>
      </c>
      <c r="C57" s="6" t="s">
        <v>174</v>
      </c>
      <c r="D57" s="6" t="s">
        <v>175</v>
      </c>
      <c r="E57" s="6" t="s">
        <v>176</v>
      </c>
      <c r="F57" s="6" t="s">
        <v>177</v>
      </c>
      <c r="G57" s="6"/>
      <c r="H57" s="6"/>
      <c r="I57" s="5">
        <v>86</v>
      </c>
      <c r="J57" s="5" t="s">
        <v>33</v>
      </c>
      <c r="K57" s="6" t="s">
        <v>178</v>
      </c>
      <c r="L57" s="5">
        <v>0.87</v>
      </c>
      <c r="M57" s="7">
        <v>74.819999999999993</v>
      </c>
      <c r="N57" s="5" t="s">
        <v>35</v>
      </c>
    </row>
    <row r="58" spans="1:14" ht="21.75" customHeight="1" x14ac:dyDescent="0.2">
      <c r="A58" s="5">
        <v>40</v>
      </c>
      <c r="B58" s="5" t="s">
        <v>28</v>
      </c>
      <c r="C58" s="6" t="s">
        <v>179</v>
      </c>
      <c r="D58" s="6" t="s">
        <v>180</v>
      </c>
      <c r="E58" s="6" t="s">
        <v>176</v>
      </c>
      <c r="F58" s="6" t="s">
        <v>177</v>
      </c>
      <c r="G58" s="6"/>
      <c r="H58" s="6"/>
      <c r="I58" s="5">
        <v>136</v>
      </c>
      <c r="J58" s="5" t="s">
        <v>33</v>
      </c>
      <c r="K58" s="6" t="s">
        <v>181</v>
      </c>
      <c r="L58" s="5">
        <v>2.39</v>
      </c>
      <c r="M58" s="7">
        <v>325.04000000000002</v>
      </c>
      <c r="N58" s="5" t="s">
        <v>35</v>
      </c>
    </row>
    <row r="59" spans="1:14" ht="21.75" customHeight="1" x14ac:dyDescent="0.2">
      <c r="A59" s="5">
        <v>41</v>
      </c>
      <c r="B59" s="5" t="s">
        <v>28</v>
      </c>
      <c r="C59" s="6" t="s">
        <v>182</v>
      </c>
      <c r="D59" s="6" t="s">
        <v>183</v>
      </c>
      <c r="E59" s="6" t="s">
        <v>176</v>
      </c>
      <c r="F59" s="6" t="s">
        <v>177</v>
      </c>
      <c r="G59" s="6"/>
      <c r="H59" s="6"/>
      <c r="I59" s="5">
        <v>96</v>
      </c>
      <c r="J59" s="5" t="s">
        <v>33</v>
      </c>
      <c r="K59" s="6" t="s">
        <v>184</v>
      </c>
      <c r="L59" s="5">
        <v>2.71</v>
      </c>
      <c r="M59" s="7">
        <v>260.16000000000003</v>
      </c>
      <c r="N59" s="5" t="s">
        <v>35</v>
      </c>
    </row>
    <row r="60" spans="1:14" ht="25.75" customHeight="1" x14ac:dyDescent="0.2">
      <c r="A60" s="5">
        <v>42</v>
      </c>
      <c r="B60" s="5" t="s">
        <v>28</v>
      </c>
      <c r="C60" s="6" t="s">
        <v>185</v>
      </c>
      <c r="D60" s="6" t="s">
        <v>186</v>
      </c>
      <c r="E60" s="6" t="s">
        <v>31</v>
      </c>
      <c r="F60" s="6" t="s">
        <v>32</v>
      </c>
      <c r="G60" s="6"/>
      <c r="H60" s="6"/>
      <c r="I60" s="5">
        <v>136</v>
      </c>
      <c r="J60" s="5" t="s">
        <v>33</v>
      </c>
      <c r="K60" s="6" t="s">
        <v>187</v>
      </c>
      <c r="L60" s="5">
        <v>1.42</v>
      </c>
      <c r="M60" s="7">
        <v>193.12</v>
      </c>
      <c r="N60" s="5" t="s">
        <v>35</v>
      </c>
    </row>
    <row r="61" spans="1:14" ht="25.75" customHeight="1" x14ac:dyDescent="0.2">
      <c r="A61" s="5">
        <v>43</v>
      </c>
      <c r="B61" s="5" t="s">
        <v>28</v>
      </c>
      <c r="C61" s="6" t="s">
        <v>188</v>
      </c>
      <c r="D61" s="6" t="s">
        <v>189</v>
      </c>
      <c r="E61" s="6" t="s">
        <v>74</v>
      </c>
      <c r="F61" s="6" t="s">
        <v>75</v>
      </c>
      <c r="G61" s="6" t="s">
        <v>54</v>
      </c>
      <c r="H61" s="6"/>
      <c r="I61" s="5">
        <v>54</v>
      </c>
      <c r="J61" s="5" t="s">
        <v>33</v>
      </c>
      <c r="K61" s="6" t="s">
        <v>190</v>
      </c>
      <c r="L61" s="5">
        <v>5.84</v>
      </c>
      <c r="M61" s="7">
        <v>315.36</v>
      </c>
      <c r="N61" s="5" t="s">
        <v>35</v>
      </c>
    </row>
    <row r="62" spans="1:14" ht="25.75" customHeight="1" x14ac:dyDescent="0.2">
      <c r="A62" s="5">
        <v>44</v>
      </c>
      <c r="B62" s="5" t="s">
        <v>28</v>
      </c>
      <c r="C62" s="6" t="s">
        <v>191</v>
      </c>
      <c r="D62" s="6" t="s">
        <v>189</v>
      </c>
      <c r="E62" s="6" t="s">
        <v>74</v>
      </c>
      <c r="F62" s="6" t="s">
        <v>75</v>
      </c>
      <c r="G62" s="6" t="s">
        <v>54</v>
      </c>
      <c r="H62" s="6"/>
      <c r="I62" s="5">
        <v>28</v>
      </c>
      <c r="J62" s="5" t="s">
        <v>33</v>
      </c>
      <c r="K62" s="6" t="s">
        <v>190</v>
      </c>
      <c r="L62" s="5">
        <v>6.19</v>
      </c>
      <c r="M62" s="7">
        <v>173.32</v>
      </c>
      <c r="N62" s="5" t="s">
        <v>35</v>
      </c>
    </row>
    <row r="63" spans="1:14" ht="25.75" customHeight="1" x14ac:dyDescent="0.2">
      <c r="A63" s="5">
        <v>45</v>
      </c>
      <c r="B63" s="5" t="s">
        <v>28</v>
      </c>
      <c r="C63" s="6" t="s">
        <v>192</v>
      </c>
      <c r="D63" s="6" t="s">
        <v>189</v>
      </c>
      <c r="E63" s="6" t="s">
        <v>74</v>
      </c>
      <c r="F63" s="6" t="s">
        <v>75</v>
      </c>
      <c r="G63" s="6" t="s">
        <v>54</v>
      </c>
      <c r="H63" s="6"/>
      <c r="I63" s="5">
        <v>24</v>
      </c>
      <c r="J63" s="5" t="s">
        <v>33</v>
      </c>
      <c r="K63" s="6" t="s">
        <v>190</v>
      </c>
      <c r="L63" s="5">
        <v>3.57</v>
      </c>
      <c r="M63" s="7">
        <v>85.68</v>
      </c>
      <c r="N63" s="5" t="s">
        <v>35</v>
      </c>
    </row>
    <row r="64" spans="1:14" ht="25.75" customHeight="1" x14ac:dyDescent="0.2">
      <c r="A64" s="5">
        <v>46</v>
      </c>
      <c r="B64" s="5" t="s">
        <v>28</v>
      </c>
      <c r="C64" s="6" t="s">
        <v>193</v>
      </c>
      <c r="D64" s="6" t="s">
        <v>194</v>
      </c>
      <c r="E64" s="6" t="s">
        <v>74</v>
      </c>
      <c r="F64" s="6" t="s">
        <v>75</v>
      </c>
      <c r="G64" s="6" t="s">
        <v>54</v>
      </c>
      <c r="H64" s="6"/>
      <c r="I64" s="5">
        <v>54</v>
      </c>
      <c r="J64" s="5" t="s">
        <v>33</v>
      </c>
      <c r="K64" s="6" t="s">
        <v>190</v>
      </c>
      <c r="L64" s="5">
        <v>5.84</v>
      </c>
      <c r="M64" s="7">
        <v>315.36</v>
      </c>
      <c r="N64" s="5" t="s">
        <v>35</v>
      </c>
    </row>
    <row r="65" spans="1:14" ht="25.75" customHeight="1" x14ac:dyDescent="0.2">
      <c r="A65" s="5">
        <v>47</v>
      </c>
      <c r="B65" s="5" t="s">
        <v>28</v>
      </c>
      <c r="C65" s="6" t="s">
        <v>195</v>
      </c>
      <c r="D65" s="6" t="s">
        <v>194</v>
      </c>
      <c r="E65" s="6" t="s">
        <v>74</v>
      </c>
      <c r="F65" s="6" t="s">
        <v>75</v>
      </c>
      <c r="G65" s="6" t="s">
        <v>54</v>
      </c>
      <c r="H65" s="6"/>
      <c r="I65" s="5">
        <v>24</v>
      </c>
      <c r="J65" s="5" t="s">
        <v>33</v>
      </c>
      <c r="K65" s="6" t="s">
        <v>190</v>
      </c>
      <c r="L65" s="5">
        <v>3.57</v>
      </c>
      <c r="M65" s="7">
        <v>85.68</v>
      </c>
      <c r="N65" s="5" t="s">
        <v>35</v>
      </c>
    </row>
    <row r="66" spans="1:14" ht="25.75" customHeight="1" x14ac:dyDescent="0.2">
      <c r="A66" s="5">
        <v>48</v>
      </c>
      <c r="B66" s="5" t="s">
        <v>28</v>
      </c>
      <c r="C66" s="6" t="s">
        <v>196</v>
      </c>
      <c r="D66" s="6" t="s">
        <v>197</v>
      </c>
      <c r="E66" s="6" t="s">
        <v>198</v>
      </c>
      <c r="F66" s="6" t="s">
        <v>199</v>
      </c>
      <c r="G66" s="6" t="s">
        <v>200</v>
      </c>
      <c r="H66" s="6" t="s">
        <v>201</v>
      </c>
      <c r="I66" s="5">
        <v>6</v>
      </c>
      <c r="J66" s="5" t="s">
        <v>33</v>
      </c>
      <c r="K66" s="6" t="s">
        <v>202</v>
      </c>
      <c r="L66" s="5">
        <v>4.8600000000000003</v>
      </c>
      <c r="M66" s="7">
        <v>29.16</v>
      </c>
      <c r="N66" s="5" t="s">
        <v>35</v>
      </c>
    </row>
    <row r="67" spans="1:14" ht="25.75" customHeight="1" x14ac:dyDescent="0.2">
      <c r="A67" s="5">
        <v>49</v>
      </c>
      <c r="B67" s="5" t="s">
        <v>28</v>
      </c>
      <c r="C67" s="6" t="s">
        <v>203</v>
      </c>
      <c r="D67" s="6" t="s">
        <v>204</v>
      </c>
      <c r="E67" s="6" t="s">
        <v>105</v>
      </c>
      <c r="F67" s="6" t="s">
        <v>106</v>
      </c>
      <c r="G67" s="6"/>
      <c r="H67" s="6"/>
      <c r="I67" s="5">
        <v>42</v>
      </c>
      <c r="J67" s="5" t="s">
        <v>33</v>
      </c>
      <c r="K67" s="6" t="s">
        <v>205</v>
      </c>
      <c r="L67" s="5">
        <v>5.14</v>
      </c>
      <c r="M67" s="7">
        <v>215.88</v>
      </c>
      <c r="N67" s="5" t="s">
        <v>35</v>
      </c>
    </row>
    <row r="68" spans="1:14" ht="25.75" customHeight="1" x14ac:dyDescent="0.2">
      <c r="A68" s="5">
        <v>50</v>
      </c>
      <c r="B68" s="5" t="s">
        <v>28</v>
      </c>
      <c r="C68" s="6" t="s">
        <v>206</v>
      </c>
      <c r="D68" s="6" t="s">
        <v>207</v>
      </c>
      <c r="E68" s="6" t="s">
        <v>74</v>
      </c>
      <c r="F68" s="6" t="s">
        <v>75</v>
      </c>
      <c r="G68" s="6" t="s">
        <v>54</v>
      </c>
      <c r="H68" s="6"/>
      <c r="I68" s="5">
        <v>2</v>
      </c>
      <c r="J68" s="5" t="s">
        <v>33</v>
      </c>
      <c r="K68" s="6" t="s">
        <v>178</v>
      </c>
      <c r="L68" s="5">
        <v>0.51</v>
      </c>
      <c r="M68" s="7">
        <v>1.02</v>
      </c>
      <c r="N68" s="5" t="s">
        <v>35</v>
      </c>
    </row>
    <row r="69" spans="1:14" ht="25.75" customHeight="1" x14ac:dyDescent="0.2">
      <c r="A69" s="5">
        <v>51</v>
      </c>
      <c r="B69" s="5" t="s">
        <v>28</v>
      </c>
      <c r="C69" s="6" t="s">
        <v>208</v>
      </c>
      <c r="D69" s="6" t="s">
        <v>209</v>
      </c>
      <c r="E69" s="6" t="s">
        <v>210</v>
      </c>
      <c r="F69" s="6" t="s">
        <v>211</v>
      </c>
      <c r="G69" s="6"/>
      <c r="H69" s="6"/>
      <c r="I69" s="5">
        <v>102</v>
      </c>
      <c r="J69" s="5" t="s">
        <v>33</v>
      </c>
      <c r="K69" s="6" t="s">
        <v>212</v>
      </c>
      <c r="L69" s="5">
        <v>136.99</v>
      </c>
      <c r="M69" s="7">
        <v>13972.98</v>
      </c>
      <c r="N69" s="5" t="s">
        <v>35</v>
      </c>
    </row>
    <row r="70" spans="1:14" ht="64" customHeight="1" x14ac:dyDescent="0.2">
      <c r="A70" s="5">
        <v>52</v>
      </c>
      <c r="B70" s="5" t="s">
        <v>28</v>
      </c>
      <c r="C70" s="6" t="s">
        <v>213</v>
      </c>
      <c r="D70" s="6" t="s">
        <v>214</v>
      </c>
      <c r="E70" s="6" t="s">
        <v>215</v>
      </c>
      <c r="F70" s="6" t="s">
        <v>216</v>
      </c>
      <c r="G70" s="6" t="s">
        <v>217</v>
      </c>
      <c r="H70" s="6" t="s">
        <v>218</v>
      </c>
      <c r="I70" s="5">
        <v>136</v>
      </c>
      <c r="J70" s="5" t="s">
        <v>33</v>
      </c>
      <c r="K70" s="6" t="s">
        <v>219</v>
      </c>
      <c r="L70" s="5">
        <v>80.47</v>
      </c>
      <c r="M70" s="7">
        <v>10943.92</v>
      </c>
      <c r="N70" s="5" t="s">
        <v>35</v>
      </c>
    </row>
    <row r="71" spans="1:14" ht="38.5" customHeight="1" x14ac:dyDescent="0.2">
      <c r="A71" s="5">
        <v>53</v>
      </c>
      <c r="B71" s="5" t="s">
        <v>28</v>
      </c>
      <c r="C71" s="6" t="s">
        <v>220</v>
      </c>
      <c r="D71" s="6" t="s">
        <v>221</v>
      </c>
      <c r="E71" s="6" t="s">
        <v>222</v>
      </c>
      <c r="F71" s="6" t="s">
        <v>32</v>
      </c>
      <c r="G71" s="6"/>
      <c r="H71" s="6"/>
      <c r="I71" s="5">
        <v>56</v>
      </c>
      <c r="J71" s="5" t="s">
        <v>33</v>
      </c>
      <c r="K71" s="6" t="s">
        <v>223</v>
      </c>
      <c r="L71" s="5">
        <v>2.5099999999999998</v>
      </c>
      <c r="M71" s="7">
        <v>140.56</v>
      </c>
      <c r="N71" s="5" t="s">
        <v>35</v>
      </c>
    </row>
    <row r="72" spans="1:14" ht="25.75" customHeight="1" x14ac:dyDescent="0.2">
      <c r="A72" s="5">
        <v>54</v>
      </c>
      <c r="B72" s="5" t="s">
        <v>28</v>
      </c>
      <c r="C72" s="6" t="s">
        <v>224</v>
      </c>
      <c r="D72" s="6" t="s">
        <v>225</v>
      </c>
      <c r="E72" s="6" t="s">
        <v>31</v>
      </c>
      <c r="F72" s="6" t="s">
        <v>32</v>
      </c>
      <c r="G72" s="6"/>
      <c r="H72" s="6"/>
      <c r="I72" s="5">
        <v>90</v>
      </c>
      <c r="J72" s="5" t="s">
        <v>33</v>
      </c>
      <c r="K72" s="6" t="s">
        <v>226</v>
      </c>
      <c r="L72" s="5">
        <v>3.48</v>
      </c>
      <c r="M72" s="7">
        <v>313.2</v>
      </c>
      <c r="N72" s="5" t="s">
        <v>35</v>
      </c>
    </row>
    <row r="73" spans="1:14" ht="21.75" customHeight="1" x14ac:dyDescent="0.2">
      <c r="A73" s="5">
        <v>55</v>
      </c>
      <c r="B73" s="5" t="s">
        <v>28</v>
      </c>
      <c r="C73" s="6" t="s">
        <v>227</v>
      </c>
      <c r="D73" s="6" t="s">
        <v>228</v>
      </c>
      <c r="E73" s="6" t="s">
        <v>229</v>
      </c>
      <c r="F73" s="6" t="s">
        <v>75</v>
      </c>
      <c r="G73" s="6" t="s">
        <v>54</v>
      </c>
      <c r="H73" s="6"/>
      <c r="I73" s="5">
        <v>104</v>
      </c>
      <c r="J73" s="5" t="s">
        <v>33</v>
      </c>
      <c r="K73" s="6" t="s">
        <v>230</v>
      </c>
      <c r="L73" s="5">
        <v>13.31</v>
      </c>
      <c r="M73" s="7">
        <v>1384.24</v>
      </c>
      <c r="N73" s="5" t="s">
        <v>35</v>
      </c>
    </row>
    <row r="74" spans="1:14" ht="21.75" customHeight="1" x14ac:dyDescent="0.2">
      <c r="A74" s="5">
        <v>56</v>
      </c>
      <c r="B74" s="5" t="s">
        <v>28</v>
      </c>
      <c r="C74" s="6" t="s">
        <v>231</v>
      </c>
      <c r="D74" s="6" t="s">
        <v>232</v>
      </c>
      <c r="E74" s="6" t="s">
        <v>229</v>
      </c>
      <c r="F74" s="6" t="s">
        <v>75</v>
      </c>
      <c r="G74" s="6" t="s">
        <v>54</v>
      </c>
      <c r="H74" s="6"/>
      <c r="I74" s="5">
        <v>136</v>
      </c>
      <c r="J74" s="5" t="s">
        <v>33</v>
      </c>
      <c r="K74" s="6" t="s">
        <v>230</v>
      </c>
      <c r="L74" s="5">
        <v>13.31</v>
      </c>
      <c r="M74" s="7">
        <v>1810.16</v>
      </c>
      <c r="N74" s="5" t="s">
        <v>35</v>
      </c>
    </row>
    <row r="75" spans="1:14" ht="166.5" customHeight="1" x14ac:dyDescent="0.2">
      <c r="A75" s="5">
        <v>57</v>
      </c>
      <c r="B75" s="5" t="s">
        <v>28</v>
      </c>
      <c r="C75" s="6" t="s">
        <v>233</v>
      </c>
      <c r="D75" s="6" t="s">
        <v>234</v>
      </c>
      <c r="E75" s="6" t="s">
        <v>133</v>
      </c>
      <c r="F75" s="6" t="s">
        <v>134</v>
      </c>
      <c r="G75" s="6" t="s">
        <v>122</v>
      </c>
      <c r="H75" s="6" t="s">
        <v>135</v>
      </c>
      <c r="I75" s="5">
        <v>48</v>
      </c>
      <c r="J75" s="5" t="s">
        <v>33</v>
      </c>
      <c r="K75" s="6" t="s">
        <v>235</v>
      </c>
      <c r="L75" s="5">
        <v>34.11</v>
      </c>
      <c r="M75" s="7">
        <v>1637.28</v>
      </c>
      <c r="N75" s="5" t="s">
        <v>35</v>
      </c>
    </row>
    <row r="76" spans="1:14" ht="25.75" customHeight="1" x14ac:dyDescent="0.2">
      <c r="A76" s="5">
        <v>58</v>
      </c>
      <c r="B76" s="5" t="s">
        <v>28</v>
      </c>
      <c r="C76" s="6" t="s">
        <v>236</v>
      </c>
      <c r="D76" s="6" t="s">
        <v>237</v>
      </c>
      <c r="E76" s="6" t="s">
        <v>238</v>
      </c>
      <c r="F76" s="6" t="s">
        <v>239</v>
      </c>
      <c r="G76" s="6"/>
      <c r="H76" s="6"/>
      <c r="I76" s="5">
        <v>6</v>
      </c>
      <c r="J76" s="5" t="s">
        <v>33</v>
      </c>
      <c r="K76" s="6" t="s">
        <v>240</v>
      </c>
      <c r="L76" s="5">
        <v>22.51</v>
      </c>
      <c r="M76" s="7">
        <v>135.06</v>
      </c>
      <c r="N76" s="5" t="s">
        <v>35</v>
      </c>
    </row>
    <row r="77" spans="1:14" ht="25.75" customHeight="1" x14ac:dyDescent="0.2">
      <c r="A77" s="5">
        <v>59</v>
      </c>
      <c r="B77" s="5" t="s">
        <v>28</v>
      </c>
      <c r="C77" s="6" t="s">
        <v>241</v>
      </c>
      <c r="D77" s="6" t="s">
        <v>242</v>
      </c>
      <c r="E77" s="6" t="s">
        <v>238</v>
      </c>
      <c r="F77" s="6" t="s">
        <v>239</v>
      </c>
      <c r="G77" s="6"/>
      <c r="H77" s="6"/>
      <c r="I77" s="5">
        <v>66</v>
      </c>
      <c r="J77" s="5" t="s">
        <v>33</v>
      </c>
      <c r="K77" s="6" t="s">
        <v>243</v>
      </c>
      <c r="L77" s="5">
        <v>17.260000000000002</v>
      </c>
      <c r="M77" s="7">
        <v>1139.1600000000001</v>
      </c>
      <c r="N77" s="5" t="s">
        <v>35</v>
      </c>
    </row>
    <row r="78" spans="1:14" ht="25.75" customHeight="1" x14ac:dyDescent="0.2">
      <c r="A78" s="5">
        <v>60</v>
      </c>
      <c r="B78" s="5" t="s">
        <v>28</v>
      </c>
      <c r="C78" s="6" t="s">
        <v>244</v>
      </c>
      <c r="D78" s="6" t="s">
        <v>245</v>
      </c>
      <c r="E78" s="6" t="s">
        <v>246</v>
      </c>
      <c r="F78" s="6" t="s">
        <v>247</v>
      </c>
      <c r="G78" s="6"/>
      <c r="H78" s="6"/>
      <c r="I78" s="5">
        <v>11</v>
      </c>
      <c r="J78" s="5" t="s">
        <v>33</v>
      </c>
      <c r="K78" s="6" t="s">
        <v>248</v>
      </c>
      <c r="L78" s="5">
        <v>0.98</v>
      </c>
      <c r="M78" s="7">
        <v>10.78</v>
      </c>
      <c r="N78" s="5" t="s">
        <v>35</v>
      </c>
    </row>
    <row r="79" spans="1:14" ht="25.75" customHeight="1" x14ac:dyDescent="0.2">
      <c r="A79" s="5">
        <v>61</v>
      </c>
      <c r="B79" s="5" t="s">
        <v>28</v>
      </c>
      <c r="C79" s="6" t="s">
        <v>249</v>
      </c>
      <c r="D79" s="6" t="s">
        <v>250</v>
      </c>
      <c r="E79" s="6" t="s">
        <v>251</v>
      </c>
      <c r="F79" s="6" t="s">
        <v>252</v>
      </c>
      <c r="G79" s="6"/>
      <c r="H79" s="6" t="s">
        <v>253</v>
      </c>
      <c r="I79" s="5">
        <v>7200</v>
      </c>
      <c r="J79" s="5" t="s">
        <v>33</v>
      </c>
      <c r="K79" s="6" t="s">
        <v>41</v>
      </c>
      <c r="L79" s="5">
        <v>0.03</v>
      </c>
      <c r="M79" s="7">
        <v>216</v>
      </c>
      <c r="N79" s="5" t="s">
        <v>35</v>
      </c>
    </row>
    <row r="80" spans="1:14" ht="21.75" customHeight="1" x14ac:dyDescent="0.2">
      <c r="A80" s="5">
        <v>62</v>
      </c>
      <c r="B80" s="5" t="s">
        <v>28</v>
      </c>
      <c r="C80" s="6" t="s">
        <v>254</v>
      </c>
      <c r="D80" s="6" t="s">
        <v>255</v>
      </c>
      <c r="E80" s="6" t="s">
        <v>256</v>
      </c>
      <c r="F80" s="6" t="s">
        <v>167</v>
      </c>
      <c r="G80" s="6" t="s">
        <v>54</v>
      </c>
      <c r="H80" s="6"/>
      <c r="I80" s="5">
        <v>105</v>
      </c>
      <c r="J80" s="5" t="s">
        <v>33</v>
      </c>
      <c r="K80" s="6" t="s">
        <v>257</v>
      </c>
      <c r="L80" s="5">
        <v>43.12</v>
      </c>
      <c r="M80" s="7">
        <v>4527.6000000000004</v>
      </c>
      <c r="N80" s="5" t="s">
        <v>35</v>
      </c>
    </row>
    <row r="81" spans="1:14" ht="21.75" customHeight="1" x14ac:dyDescent="0.2">
      <c r="A81" s="5">
        <v>63</v>
      </c>
      <c r="B81" s="5" t="s">
        <v>28</v>
      </c>
      <c r="C81" s="6" t="s">
        <v>258</v>
      </c>
      <c r="D81" s="6" t="s">
        <v>259</v>
      </c>
      <c r="E81" s="6" t="s">
        <v>260</v>
      </c>
      <c r="F81" s="6" t="s">
        <v>261</v>
      </c>
      <c r="G81" s="6"/>
      <c r="H81" s="6"/>
      <c r="I81" s="5">
        <v>4</v>
      </c>
      <c r="J81" s="5" t="s">
        <v>33</v>
      </c>
      <c r="K81" s="6" t="s">
        <v>262</v>
      </c>
      <c r="L81" s="5">
        <v>53.04</v>
      </c>
      <c r="M81" s="7">
        <v>212.16</v>
      </c>
      <c r="N81" s="5" t="s">
        <v>263</v>
      </c>
    </row>
    <row r="82" spans="1:14" ht="21.75" customHeight="1" x14ac:dyDescent="0.2">
      <c r="A82" s="5">
        <v>64</v>
      </c>
      <c r="B82" s="5" t="s">
        <v>28</v>
      </c>
      <c r="C82" s="6" t="s">
        <v>264</v>
      </c>
      <c r="D82" s="6" t="s">
        <v>259</v>
      </c>
      <c r="E82" s="6" t="s">
        <v>260</v>
      </c>
      <c r="F82" s="6" t="s">
        <v>261</v>
      </c>
      <c r="G82" s="6"/>
      <c r="H82" s="6"/>
      <c r="I82" s="5">
        <v>6</v>
      </c>
      <c r="J82" s="5" t="s">
        <v>33</v>
      </c>
      <c r="K82" s="6" t="s">
        <v>265</v>
      </c>
      <c r="L82" s="5">
        <v>8.5</v>
      </c>
      <c r="M82" s="7">
        <v>51</v>
      </c>
      <c r="N82" s="5" t="s">
        <v>263</v>
      </c>
    </row>
    <row r="83" spans="1:14" ht="21.75" customHeight="1" x14ac:dyDescent="0.2">
      <c r="A83" s="5">
        <v>65</v>
      </c>
      <c r="B83" s="5" t="s">
        <v>28</v>
      </c>
      <c r="C83" s="6" t="s">
        <v>266</v>
      </c>
      <c r="D83" s="6" t="s">
        <v>259</v>
      </c>
      <c r="E83" s="6" t="s">
        <v>260</v>
      </c>
      <c r="F83" s="6" t="s">
        <v>261</v>
      </c>
      <c r="G83" s="6"/>
      <c r="H83" s="6"/>
      <c r="I83" s="5">
        <v>4</v>
      </c>
      <c r="J83" s="5" t="s">
        <v>33</v>
      </c>
      <c r="K83" s="6" t="s">
        <v>267</v>
      </c>
      <c r="L83" s="5">
        <v>13.02</v>
      </c>
      <c r="M83" s="7">
        <v>52.08</v>
      </c>
      <c r="N83" s="5" t="s">
        <v>263</v>
      </c>
    </row>
    <row r="84" spans="1:14" ht="25.75" customHeight="1" x14ac:dyDescent="0.2">
      <c r="A84" s="8" t="s">
        <v>268</v>
      </c>
      <c r="B84" s="9"/>
      <c r="C84" s="9"/>
      <c r="D84" s="9"/>
      <c r="E84" s="9"/>
      <c r="F84" s="9"/>
      <c r="G84" s="9"/>
      <c r="H84" s="9"/>
      <c r="I84" s="10">
        <f>SUBTOTAL(9,I19:I83)</f>
        <v>17261</v>
      </c>
      <c r="J84" s="5" t="s">
        <v>269</v>
      </c>
      <c r="K84" s="9"/>
      <c r="L84" s="9"/>
      <c r="M84" s="10">
        <f>SUBTOTAL(9,M19:M83)</f>
        <v>84594.060000000012</v>
      </c>
      <c r="N84" s="9"/>
    </row>
    <row r="85" spans="1:14" ht="33.25" customHeight="1" x14ac:dyDescent="0.2">
      <c r="A85" s="12" t="s">
        <v>270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</sheetData>
  <mergeCells count="8">
    <mergeCell ref="A8:C14"/>
    <mergeCell ref="D8:F14"/>
    <mergeCell ref="A85:N85"/>
    <mergeCell ref="A1:M1"/>
    <mergeCell ref="A2:M2"/>
    <mergeCell ref="A3:M3"/>
    <mergeCell ref="A4:M4"/>
    <mergeCell ref="A6:M6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Jorge Alejandro Melendez Arias</cp:lastModifiedBy>
  <dcterms:created xsi:type="dcterms:W3CDTF">2025-12-24T02:06:21Z</dcterms:created>
  <dcterms:modified xsi:type="dcterms:W3CDTF">2025-12-26T13:48:58Z</dcterms:modified>
</cp:coreProperties>
</file>