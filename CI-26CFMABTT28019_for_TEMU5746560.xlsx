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USER-CFMOTO\Downloads\"/>
    </mc:Choice>
  </mc:AlternateContent>
  <xr:revisionPtr revIDLastSave="0" documentId="13_ncr:1_{8F9B4EFE-BA99-4E0D-B240-93914406C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sheet1!$A$18:$I$21</definedName>
    <definedName name="_xlnm.Print_Area" localSheetId="0">sheet1!$A$1:$H$37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D20" i="1"/>
  <c r="F19" i="1"/>
</calcChain>
</file>

<file path=xl/sharedStrings.xml><?xml version="1.0" encoding="utf-8"?>
<sst xmlns="http://schemas.openxmlformats.org/spreadsheetml/2006/main" count="28" uniqueCount="27">
  <si>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</si>
  <si>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</si>
  <si>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</si>
  <si>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</si>
  <si>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</si>
  <si>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IMPORTADOR: CFMOTO MEXICO POWER, S. DE R.L. DE C.V. 
CALLE TECNOLOGIA NO. 107, COL. VYNMSA APODACA INDUSTRIAL PARK, APODACA, NUEVO LEÓN C.P. 66628 Mexico
Raúl Sergio Medina
raul.medina@cfmoto.com                                                                                                enrique.soto@cfmoto.com
imelda.cardiel@cfmoto.com
hector.elizondo@cfmoto.com
export10@cfmoto.com.cn
zhoucy@cfmoto.com</t>
  </si>
  <si>
    <t>PROVEEDOR：ZHEJIANG CFMOTO POWER CO., LTD
 DIRECCIÓN：WUZHOU ROAD, YUHANG ECONOMIC 
 DEVELOPMENT ZONE No.EXT. 116 C.P. 311100 
 HANGZHOU ZHEJIANG, CHINA (REPUBLICA POPULAR)
 TAX ID ：91330100757206158J</t>
  </si>
  <si>
    <t>INVOICE NO : 26CFMABTT28019</t>
  </si>
  <si>
    <r>
      <rPr>
        <sz val="11"/>
        <color rgb="FF000000"/>
        <rFont val="Calibri"/>
        <charset val="134"/>
      </rPr>
      <t>PAYMENT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Calibri"/>
        <charset val="134"/>
      </rPr>
      <t>T/T</t>
    </r>
  </si>
  <si>
    <t>DATE :Jan- 30th ,2026</t>
  </si>
  <si>
    <t>SHIPPED FROM : ningbo, CHINA</t>
  </si>
  <si>
    <t>TO MANZANILLO , MEXICO</t>
  </si>
  <si>
    <t>Tel: +52 81 1602 5579</t>
  </si>
  <si>
    <t>SHIPPED PER : BY SEA</t>
  </si>
  <si>
    <t>ITEM</t>
  </si>
  <si>
    <t>PART NO.</t>
  </si>
  <si>
    <t>ENGLISH NAME</t>
  </si>
  <si>
    <t>QTY</t>
  </si>
  <si>
    <t>U-M</t>
  </si>
  <si>
    <t>PRICE(USD)</t>
  </si>
  <si>
    <t>AMOUNT(USD)</t>
  </si>
  <si>
    <t>REMARKS</t>
  </si>
  <si>
    <t>TFW009</t>
  </si>
  <si>
    <t>welding wire</t>
  </si>
  <si>
    <t>KGS</t>
  </si>
  <si>
    <t>INCOTERM:CIF MANZANILLO</t>
  </si>
  <si>
    <t>SAY TOTAL US DOLLAR  SEVENTEEN THOUSAND NINE HUNDRED AND FIFTY-TWO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</si>
</sst>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\$#,##0.00;\(\$#,##0.00\)"/>
    <numFmt numFmtId="169" formatCode="\$#,##0.00;\-\$#,##0.00"/>
  </numFmts>
  <fonts count="23">
    <font>
      <sz val="11"/>
      <color indexed="8"/>
      <name val="Calibri"/>
      <charset val="1"/>
      <scheme val="minor"/>
    </font>
    <font>
      <b/>
      <sz val="17"/>
      <color rgb="FF000000"/>
      <name val="Calibri"/>
      <charset val="134"/>
    </font>
    <font>
      <b/>
      <sz val="12"/>
      <color rgb="FF000000"/>
      <name val="Calibri"/>
      <charset val="134"/>
    </font>
    <font>
      <sz val="9"/>
      <color rgb="FF000000"/>
      <name val="SimHei"/>
      <charset val="134"/>
    </font>
    <font>
      <b/>
      <u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indexed="8"/>
      <name val="Calibri"/>
      <charset val="134"/>
      <scheme val="minor"/>
    </font>
    <font>
      <sz val="11"/>
      <name val="微软雅黑"/>
      <charset val="134"/>
    </font>
    <font>
      <sz val="10"/>
      <name val="Arial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indexed="8"/>
      <name val="微软雅黑"/>
      <charset val="1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indexed="8"/>
      <name val="微软雅黑"/>
      <charset val="1"/>
    </font>
    <font>
      <sz val="10"/>
      <name val="微软雅黑"/>
      <charset val="134"/>
    </font>
    <font>
      <sz val="10"/>
      <color indexed="8"/>
      <name val="等线"/>
      <charset val="1"/>
    </font>
    <font>
      <sz val="9"/>
      <color rgb="FF000000"/>
      <name val="SimSun"/>
      <charset val="134"/>
    </font>
    <font>
      <sz val="10"/>
      <color rgb="FFFF0000"/>
      <name val="微软雅黑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0" fillId="0" borderId="0"/>
    <xf numFmtId="0" fontId="20" fillId="0" borderId="0"/>
    <xf numFmtId="0" fontId="21" fillId="0" borderId="0">
      <alignment vertical="center"/>
    </xf>
    <xf numFmtId="0" fontId="9" fillId="0" borderId="0"/>
  </cellStyleXfs>
  <cellXfs count="4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68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69" fontId="11" fillId="0" borderId="1" xfId="0" applyNumberFormat="1" applyFont="1" applyFill="1" applyBorder="1" applyAlignment="1">
      <alignment horizontal="center" vertical="center" wrapText="1"/>
    </xf>
    <xf numFmtId="169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69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168" fontId="11" fillId="0" borderId="1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68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68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68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8" fillId="0" borderId="0" xfId="0" applyFont="1" applyAlignment="1">
      <alignment vertical="center" wrapText="1"/>
    </xf>
    <xf numFmtId="168" fontId="18" fillId="0" borderId="0" xfId="0" applyNumberFormat="1" applyFont="1" applyAlignment="1">
      <alignment horizontal="center" vertical="center" wrapText="1"/>
    </xf>
  </cellXfs>
  <cellStyles count="5">
    <cellStyle name="Normal" xfId="0" builtinId="0"/>
    <cellStyle name="Normal 2" xfId="4" xr:uid="{00000000-0005-0000-0000-000034000000}"/>
    <cellStyle name="Normal 5" xfId="1" xr:uid="{00000000-0005-0000-0000-000031000000}"/>
    <cellStyle name="常规 2" xfId="2" xr:uid="{00000000-0005-0000-0000-000032000000}"/>
    <cellStyle name="常规 3" xfId="3" xr:uid="{00000000-0005-0000-0000-000033000000}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0</xdr:col>
      <xdr:colOff>1738630</xdr:colOff>
      <xdr:row>2</xdr:row>
      <xdr:rowOff>47625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1652905" cy="440690"/>
        </a:xfrm>
        <a:prstGeom prst="rect">
          <a:avLst/>
        </a:prstGeom>
      </xdr:spPr>
    </xdr:pic>
    <xdr:clientData/>
  </xdr:twoCellAnchor>
  <xdr:twoCellAnchor editAs="oneCell">
    <xdr:from>
      <xdr:col>3</xdr:col>
      <xdr:colOff>512445</xdr:colOff>
      <xdr:row>25</xdr:row>
      <xdr:rowOff>34925</xdr:rowOff>
    </xdr:from>
    <xdr:to>
      <xdr:col>6</xdr:col>
      <xdr:colOff>927735</xdr:colOff>
      <xdr:row>36</xdr:row>
      <xdr:rowOff>11430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0590" y="5417820"/>
          <a:ext cx="3728720" cy="1967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view="pageBreakPreview" zoomScale="85" zoomScaleNormal="100" workbookViewId="0">
      <selection activeCell="K11" sqref="K11"/>
    </sheetView>
  </sheetViews>
  <sheetFormatPr baseColWidth="10" defaultColWidth="10" defaultRowHeight="15"/>
  <cols>
    <col min="1" max="1" width="28.140625" customWidth="1"/>
    <col min="2" max="2" width="33.7109375" customWidth="1"/>
    <col min="3" max="3" width="43.42578125" style="1" customWidth="1"/>
    <col min="4" max="4" width="21.85546875" customWidth="1"/>
    <col min="5" max="5" width="8" customWidth="1"/>
    <col min="6" max="6" width="13.5703125" customWidth="1"/>
    <col min="7" max="7" width="15" style="2" customWidth="1"/>
    <col min="8" max="8" width="11.85546875" customWidth="1"/>
  </cols>
  <sheetData>
    <row r="1" spans="1:7" ht="23.45" customHeight="1">
      <c r="A1" s="29" t="s">
        <v>0</v>
      </c>
      <c r="B1" s="29"/>
      <c r="C1" s="30"/>
      <c r="D1" s="29"/>
      <c r="E1" s="29"/>
      <c r="F1" s="29"/>
      <c r="G1" s="31"/>
    </row>
    <row r="2" spans="1:7" ht="15.75" customHeight="1">
      <c r="A2" s="32" t="s">
        <v>1</v>
      </c>
      <c r="B2" s="32"/>
      <c r="C2" s="33"/>
      <c r="D2" s="32"/>
      <c r="E2" s="32"/>
      <c r="F2" s="32"/>
      <c r="G2" s="34"/>
    </row>
    <row r="3" spans="1:7" ht="15.75" customHeight="1">
      <c r="A3" s="32" t="s">
        <v>2</v>
      </c>
      <c r="B3" s="32"/>
      <c r="C3" s="33"/>
      <c r="D3" s="32"/>
      <c r="E3" s="32"/>
      <c r="F3" s="32"/>
      <c r="G3" s="34"/>
    </row>
    <row r="4" spans="1:7" ht="15.75" customHeight="1">
      <c r="A4" s="32" t="s">
        <v>3</v>
      </c>
      <c r="B4" s="32"/>
      <c r="C4" s="33"/>
      <c r="D4" s="32"/>
      <c r="E4" s="32"/>
      <c r="F4" s="32"/>
      <c r="G4" s="34"/>
    </row>
    <row r="5" spans="1:7" ht="15.75" customHeight="1">
      <c r="A5" s="3"/>
    </row>
    <row r="6" spans="1:7" ht="18.75" customHeight="1">
      <c r="A6" s="35" t="s">
        <v>4</v>
      </c>
      <c r="B6" s="35"/>
      <c r="C6" s="36"/>
      <c r="D6" s="35"/>
      <c r="E6" s="35"/>
      <c r="F6" s="35"/>
      <c r="G6" s="37"/>
    </row>
    <row r="7" spans="1:7" ht="17.25" customHeight="1"/>
    <row r="8" spans="1:7" ht="17.25" customHeight="1">
      <c r="A8" s="42" t="s">
        <v>5</v>
      </c>
      <c r="B8" s="42"/>
      <c r="C8" s="41" t="s">
        <v>6</v>
      </c>
      <c r="D8" s="38" t="s">
        <v>7</v>
      </c>
      <c r="E8" s="38"/>
      <c r="F8" s="38"/>
    </row>
    <row r="9" spans="1:7" ht="15" customHeight="1">
      <c r="A9" s="42"/>
      <c r="B9" s="42"/>
      <c r="C9" s="41"/>
      <c r="D9" s="4" t="s">
        <v>8</v>
      </c>
    </row>
    <row r="10" spans="1:7" ht="15" customHeight="1">
      <c r="A10" s="42"/>
      <c r="B10" s="42"/>
      <c r="C10" s="41"/>
      <c r="D10" s="4" t="s">
        <v>9</v>
      </c>
    </row>
    <row r="11" spans="1:7" ht="15" customHeight="1">
      <c r="A11" s="42"/>
      <c r="B11" s="42"/>
      <c r="C11" s="41"/>
      <c r="D11" s="38" t="s">
        <v>10</v>
      </c>
      <c r="E11" s="38"/>
    </row>
    <row r="12" spans="1:7" ht="15" customHeight="1">
      <c r="A12" s="42"/>
      <c r="B12" s="42"/>
      <c r="C12" s="41"/>
      <c r="D12" s="4" t="s">
        <v>11</v>
      </c>
    </row>
    <row r="13" spans="1:7" ht="15" customHeight="1">
      <c r="A13" s="42"/>
      <c r="B13" s="42"/>
      <c r="C13" s="41"/>
    </row>
    <row r="14" spans="1:7" ht="15" customHeight="1">
      <c r="A14" s="42"/>
      <c r="B14" s="42"/>
      <c r="C14" s="41"/>
    </row>
    <row r="15" spans="1:7" ht="14.25" customHeight="1">
      <c r="A15" s="38" t="s">
        <v>12</v>
      </c>
      <c r="B15" s="38"/>
    </row>
    <row r="16" spans="1:7" ht="15" customHeight="1">
      <c r="A16" s="4" t="s">
        <v>13</v>
      </c>
    </row>
    <row r="17" spans="1:9" ht="6" customHeight="1">
      <c r="A17" s="3"/>
    </row>
    <row r="18" spans="1:9" ht="30.95" customHeight="1">
      <c r="A18" s="5" t="s">
        <v>14</v>
      </c>
      <c r="B18" s="5" t="s">
        <v>15</v>
      </c>
      <c r="C18" s="6" t="s">
        <v>16</v>
      </c>
      <c r="D18" s="5" t="s">
        <v>17</v>
      </c>
      <c r="E18" s="5" t="s">
        <v>18</v>
      </c>
      <c r="F18" s="5" t="s">
        <v>19</v>
      </c>
      <c r="G18" s="7" t="s">
        <v>20</v>
      </c>
      <c r="H18" s="5" t="s">
        <v>21</v>
      </c>
      <c r="I18" s="8"/>
    </row>
    <row r="19" spans="1:9" ht="18.95" customHeight="1">
      <c r="A19" s="9">
        <v>1</v>
      </c>
      <c r="B19" s="10" t="s">
        <v>22</v>
      </c>
      <c r="C19" s="10" t="s">
        <v>23</v>
      </c>
      <c r="D19" s="11">
        <v>26400</v>
      </c>
      <c r="E19" s="12" t="s">
        <v>24</v>
      </c>
      <c r="F19" s="13">
        <f>G19/D19</f>
        <v>0.68</v>
      </c>
      <c r="G19" s="14">
        <v>17952</v>
      </c>
      <c r="H19" s="15"/>
    </row>
    <row r="20" spans="1:9" ht="18.75" customHeight="1">
      <c r="A20" s="16" t="s">
        <v>25</v>
      </c>
      <c r="B20" s="17"/>
      <c r="C20" s="18"/>
      <c r="D20" s="19">
        <f>SUM(D19:D19)</f>
        <v>26400</v>
      </c>
      <c r="E20" s="12" t="s">
        <v>24</v>
      </c>
      <c r="F20" s="20"/>
      <c r="G20" s="20">
        <f>SUM(G19:G19)</f>
        <v>17952</v>
      </c>
      <c r="H20" s="21"/>
    </row>
    <row r="21" spans="1:9" ht="33.200000000000003" customHeight="1">
      <c r="A21" s="39" t="s">
        <v>26</v>
      </c>
      <c r="B21" s="39"/>
      <c r="C21" s="40"/>
      <c r="D21" s="22"/>
      <c r="E21" s="23"/>
      <c r="F21" s="11"/>
      <c r="G21" s="24"/>
      <c r="H21" s="25"/>
    </row>
    <row r="22" spans="1:9" ht="14.25" customHeight="1">
      <c r="C22" s="26"/>
    </row>
    <row r="23" spans="1:9" ht="14.25" customHeight="1">
      <c r="C23" s="26"/>
    </row>
    <row r="24" spans="1:9" ht="14.25" customHeight="1">
      <c r="C24" s="26"/>
      <c r="D24" s="43"/>
      <c r="E24" s="43"/>
      <c r="F24" s="43"/>
      <c r="G24" s="44"/>
    </row>
    <row r="25" spans="1:9" ht="14.25" customHeight="1">
      <c r="C25" s="26"/>
      <c r="D25" s="43"/>
      <c r="E25" s="43"/>
      <c r="F25" s="43"/>
      <c r="G25" s="44"/>
    </row>
    <row r="26" spans="1:9" ht="14.25" customHeight="1">
      <c r="C26" s="26"/>
      <c r="D26" s="43"/>
      <c r="E26" s="43"/>
      <c r="F26" s="43"/>
      <c r="G26" s="44"/>
    </row>
    <row r="27" spans="1:9" ht="14.25" customHeight="1">
      <c r="C27" s="26"/>
      <c r="D27" s="43"/>
      <c r="E27" s="43"/>
      <c r="F27" s="43"/>
      <c r="G27" s="44"/>
    </row>
    <row r="28" spans="1:9" ht="14.25" customHeight="1">
      <c r="C28" s="26"/>
      <c r="D28" s="43"/>
      <c r="E28" s="43"/>
      <c r="F28" s="43"/>
      <c r="G28" s="44"/>
    </row>
    <row r="29" spans="1:9" ht="14.25" customHeight="1">
      <c r="C29" s="26"/>
      <c r="D29" s="43"/>
      <c r="E29" s="43"/>
      <c r="F29" s="43"/>
      <c r="G29" s="44"/>
    </row>
    <row r="30" spans="1:9" ht="14.25" customHeight="1">
      <c r="C30" s="27"/>
      <c r="D30" s="43"/>
      <c r="E30" s="43"/>
      <c r="F30" s="43"/>
      <c r="G30" s="44"/>
    </row>
    <row r="31" spans="1:9" ht="14.25" customHeight="1">
      <c r="C31" s="26"/>
      <c r="D31" s="43"/>
      <c r="E31" s="43"/>
      <c r="F31" s="43"/>
      <c r="G31" s="44"/>
    </row>
    <row r="32" spans="1:9" ht="14.25" customHeight="1">
      <c r="C32" s="26"/>
      <c r="D32" s="43"/>
      <c r="E32" s="43"/>
      <c r="F32" s="43"/>
      <c r="G32" s="44"/>
    </row>
    <row r="33" spans="3:7" ht="14.25" customHeight="1">
      <c r="C33" s="26"/>
      <c r="D33" s="43"/>
      <c r="E33" s="43"/>
      <c r="F33" s="43"/>
      <c r="G33" s="44"/>
    </row>
    <row r="34" spans="3:7" ht="14.25" customHeight="1">
      <c r="C34" s="26"/>
      <c r="D34" s="43"/>
      <c r="E34" s="43"/>
      <c r="F34" s="43"/>
      <c r="G34" s="44"/>
    </row>
    <row r="35" spans="3:7" ht="14.25" customHeight="1">
      <c r="C35" s="26"/>
      <c r="D35" s="43"/>
      <c r="E35" s="43"/>
      <c r="F35" s="43"/>
      <c r="G35" s="44"/>
    </row>
    <row r="36" spans="3:7" ht="14.25" customHeight="1">
      <c r="C36" s="26"/>
      <c r="D36" s="43"/>
      <c r="E36" s="43"/>
      <c r="F36" s="43"/>
      <c r="G36" s="44"/>
    </row>
    <row r="37" spans="3:7" ht="14.25" customHeight="1">
      <c r="C37" s="28"/>
      <c r="D37" s="43"/>
      <c r="E37" s="43"/>
      <c r="F37" s="43"/>
      <c r="G37" s="44"/>
    </row>
  </sheetData>
  <mergeCells count="12">
    <mergeCell ref="D24:G37"/>
    <mergeCell ref="D8:F8"/>
    <mergeCell ref="D11:E11"/>
    <mergeCell ref="A15:B15"/>
    <mergeCell ref="A21:C21"/>
    <mergeCell ref="C8:C14"/>
    <mergeCell ref="A8:B14"/>
    <mergeCell ref="A1:G1"/>
    <mergeCell ref="A2:G2"/>
    <mergeCell ref="A3:G3"/>
    <mergeCell ref="A4:G4"/>
    <mergeCell ref="A6:G6"/>
  </mergeCells>
  <conditionalFormatting sqref="A20:C37">
    <cfRule type="duplicateValues" dxfId="2" priority="2"/>
  </conditionalFormatting>
  <conditionalFormatting sqref="B19">
    <cfRule type="duplicateValues" dxfId="1" priority="1"/>
  </conditionalFormatting>
  <conditionalFormatting sqref="C19">
    <cfRule type="duplicateValues" dxfId="0" priority="3"/>
  </conditionalFormatting>
  <pageMargins left="0" right="0" top="0" bottom="0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USER-CFMOTO</cp:lastModifiedBy>
  <dcterms:created xsi:type="dcterms:W3CDTF">2024-10-22T02:58:00Z</dcterms:created>
  <dcterms:modified xsi:type="dcterms:W3CDTF">2026-02-05T23:05:02Z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9ACD1A3DDDB747258EF787B925106E60_12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