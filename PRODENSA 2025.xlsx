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Downloads/logimaster (2)/"/>
    </mc:Choice>
  </mc:AlternateContent>
  <xr:revisionPtr revIDLastSave="0" documentId="13_ncr:1_{5D77DC95-59EC-6D43-90F1-A6C6B7BF7436}" xr6:coauthVersionLast="47" xr6:coauthVersionMax="47" xr10:uidLastSave="{00000000-0000-0000-0000-000000000000}"/>
  <bookViews>
    <workbookView xWindow="77780" yWindow="1520" windowWidth="35620" windowHeight="19640" xr2:uid="{A467979C-2DB5-D742-ABC2-1CCDBDBD9ED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B27" i="1"/>
  <c r="E22" i="1"/>
  <c r="D27" i="1"/>
  <c r="D31" i="1" s="1"/>
  <c r="E14" i="1"/>
  <c r="E15" i="1"/>
  <c r="E16" i="1"/>
  <c r="E18" i="1"/>
  <c r="E19" i="1"/>
  <c r="E20" i="1"/>
  <c r="E23" i="1"/>
  <c r="E21" i="1"/>
  <c r="E24" i="1"/>
  <c r="E25" i="1"/>
  <c r="E27" i="1"/>
  <c r="E26" i="1"/>
  <c r="F26" i="1"/>
  <c r="C27" i="1"/>
  <c r="G27" i="1"/>
  <c r="I27" i="1"/>
  <c r="K27" i="1"/>
  <c r="E28" i="1" l="1"/>
  <c r="F27" i="1"/>
  <c r="E31" i="1" s="1"/>
</calcChain>
</file>

<file path=xl/sharedStrings.xml><?xml version="1.0" encoding="utf-8"?>
<sst xmlns="http://schemas.openxmlformats.org/spreadsheetml/2006/main" count="21" uniqueCount="20">
  <si>
    <t>PERCEPCIONES</t>
  </si>
  <si>
    <t>EXENTO</t>
  </si>
  <si>
    <t>GRAVADO</t>
  </si>
  <si>
    <t>OTRAS DED.</t>
  </si>
  <si>
    <t>ISR RET.</t>
  </si>
  <si>
    <t>NETO</t>
  </si>
  <si>
    <t>salario</t>
  </si>
  <si>
    <t>isr</t>
  </si>
  <si>
    <t>neto</t>
  </si>
  <si>
    <t>imss, vales, fondo</t>
  </si>
  <si>
    <t>2025.10'</t>
  </si>
  <si>
    <t>vales</t>
  </si>
  <si>
    <t>VALES</t>
  </si>
  <si>
    <t>IMSS</t>
  </si>
  <si>
    <t>FONDO DE AHORRO EMPLEADO</t>
  </si>
  <si>
    <t>FONDO DE AHORRO EMPRESA</t>
  </si>
  <si>
    <t>2C20AEC5-B040-4663-BF0C-9774FCC4D09A</t>
  </si>
  <si>
    <t>C5C258C5-BC1F-4B36-8D84-C3B222A4770A</t>
  </si>
  <si>
    <t>A6E4698E-4892-4257-B9A8-F8165F748500</t>
  </si>
  <si>
    <t>3513B6B7-BA3D-4B1B-87A9-71ED96EED53B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</si>
</sst>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4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8" fontId="0" fillId="0" borderId="0" xfId="0" applyNumberFormat="1"/>
    <xf numFmtId="8" fontId="1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0" fillId="2" borderId="0" xfId="0" applyFill="1"/>
    <xf numFmtId="8" fontId="1" fillId="2" borderId="0" xfId="0" applyNumberFormat="1" applyFont="1" applyFill="1"/>
    <xf numFmtId="3" fontId="0" fillId="0" borderId="0" xfId="0" applyNumberFormat="1"/>
    <xf numFmtId="0" fontId="0" fillId="0" borderId="0" xfId="0" applyFill="1"/>
    <xf numFmtId="8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FDFE-F3B6-9546-A90A-660A75083547}">
  <dimension ref="A1:L31"/>
  <sheetViews>
    <sheetView tabSelected="1" zoomScale="130" zoomScaleNormal="130" workbookViewId="0">
      <selection activeCell="J28" sqref="J28"/>
    </sheetView>
  </sheetViews>
  <sheetFormatPr baseColWidth="10" defaultRowHeight="16" x14ac:dyDescent="0.2"/>
  <cols>
    <col min="2" max="3" width="19.83203125" customWidth="1"/>
    <col min="4" max="4" width="34.33203125" bestFit="1" customWidth="1"/>
    <col min="5" max="5" width="34.33203125" customWidth="1"/>
    <col min="6" max="6" width="13.1640625" bestFit="1" customWidth="1"/>
    <col min="7" max="7" width="14.5" bestFit="1" customWidth="1"/>
    <col min="8" max="8" width="22" customWidth="1"/>
    <col min="9" max="9" width="15.6640625" bestFit="1" customWidth="1"/>
    <col min="10" max="11" width="14.5" bestFit="1" customWidth="1"/>
  </cols>
  <sheetData>
    <row r="1" spans="1:12" x14ac:dyDescent="0.2">
      <c r="B1" s="1" t="s">
        <v>0</v>
      </c>
      <c r="C1" s="1" t="s">
        <v>1</v>
      </c>
      <c r="D1" s="1" t="s">
        <v>14</v>
      </c>
      <c r="E1" s="1" t="s">
        <v>15</v>
      </c>
      <c r="F1" s="1" t="s">
        <v>12</v>
      </c>
      <c r="G1" s="1" t="s">
        <v>2</v>
      </c>
      <c r="H1" s="1" t="s">
        <v>13</v>
      </c>
      <c r="I1" s="1" t="s">
        <v>3</v>
      </c>
      <c r="J1" s="1" t="s">
        <v>4</v>
      </c>
      <c r="K1" s="1" t="s">
        <v>5</v>
      </c>
    </row>
    <row r="2" spans="1:12" x14ac:dyDescent="0.2">
      <c r="A2">
        <v>2025.11</v>
      </c>
      <c r="B2" s="3">
        <v>233197.3</v>
      </c>
      <c r="C2" s="3">
        <v>5850.72</v>
      </c>
      <c r="D2" s="3">
        <v>420</v>
      </c>
      <c r="E2" s="3">
        <v>420</v>
      </c>
      <c r="F2" s="3">
        <v>339.42</v>
      </c>
      <c r="G2" s="3">
        <v>227346.58</v>
      </c>
      <c r="H2" s="3"/>
      <c r="I2" s="3">
        <v>275</v>
      </c>
      <c r="J2" s="3">
        <v>70144.490000000005</v>
      </c>
      <c r="K2" s="3">
        <v>162777.81</v>
      </c>
    </row>
    <row r="3" spans="1:12" x14ac:dyDescent="0.2">
      <c r="A3">
        <v>2025.11</v>
      </c>
      <c r="B3" s="3">
        <v>0</v>
      </c>
      <c r="C3" s="3">
        <v>12190.82</v>
      </c>
      <c r="D3" s="3"/>
      <c r="E3" s="3"/>
      <c r="F3" s="3"/>
      <c r="G3" s="3">
        <v>0</v>
      </c>
      <c r="H3" s="3"/>
      <c r="I3" s="3">
        <v>0</v>
      </c>
      <c r="J3" s="3">
        <v>0</v>
      </c>
      <c r="K3" s="3">
        <v>0</v>
      </c>
    </row>
    <row r="4" spans="1:12" x14ac:dyDescent="0.2">
      <c r="A4" t="s">
        <v>10</v>
      </c>
      <c r="B4" s="3">
        <v>36210.58</v>
      </c>
      <c r="C4" s="3"/>
      <c r="D4" s="7">
        <v>1960</v>
      </c>
      <c r="E4" s="7">
        <v>1960</v>
      </c>
      <c r="F4" s="3">
        <v>1583.96</v>
      </c>
      <c r="G4" s="3">
        <v>32666.62</v>
      </c>
      <c r="H4" s="3"/>
      <c r="I4" s="3">
        <v>6791.06</v>
      </c>
      <c r="J4" s="3">
        <v>7251.89</v>
      </c>
      <c r="K4" s="3">
        <v>22167.63</v>
      </c>
      <c r="L4" t="s">
        <v>18</v>
      </c>
    </row>
    <row r="5" spans="1:12" x14ac:dyDescent="0.2">
      <c r="A5" t="s">
        <v>10</v>
      </c>
      <c r="B5" s="3">
        <v>36210.58</v>
      </c>
      <c r="C5" s="3"/>
      <c r="D5" s="7">
        <v>1960</v>
      </c>
      <c r="E5" s="7">
        <v>1960</v>
      </c>
      <c r="F5" s="3">
        <v>1583.96</v>
      </c>
      <c r="G5" s="3">
        <v>32666.62</v>
      </c>
      <c r="H5" s="3"/>
      <c r="I5" s="3">
        <v>6791.06</v>
      </c>
      <c r="J5" s="3">
        <v>7251.89</v>
      </c>
      <c r="K5" s="3">
        <v>22167.63</v>
      </c>
      <c r="L5" t="s">
        <v>19</v>
      </c>
    </row>
    <row r="6" spans="1:12" x14ac:dyDescent="0.2">
      <c r="A6">
        <v>2025.09</v>
      </c>
      <c r="B6" s="3">
        <v>37924.85</v>
      </c>
      <c r="C6" s="3"/>
      <c r="D6" s="7">
        <v>1960</v>
      </c>
      <c r="E6" s="7">
        <v>1960</v>
      </c>
      <c r="F6" s="3">
        <v>1583.96</v>
      </c>
      <c r="G6" s="3">
        <v>34380.89</v>
      </c>
      <c r="H6" s="3"/>
      <c r="I6" s="3">
        <v>6791.06</v>
      </c>
      <c r="J6" s="3">
        <v>7766.17</v>
      </c>
      <c r="K6" s="3">
        <v>23367.62</v>
      </c>
    </row>
    <row r="7" spans="1:12" x14ac:dyDescent="0.2">
      <c r="A7">
        <v>2025.09</v>
      </c>
      <c r="B7" s="3">
        <v>37294.81</v>
      </c>
      <c r="C7" s="3"/>
      <c r="D7" s="7">
        <v>1960</v>
      </c>
      <c r="E7" s="7">
        <v>1960</v>
      </c>
      <c r="F7" s="3">
        <v>1583.96</v>
      </c>
      <c r="G7" s="3">
        <v>33750.85</v>
      </c>
      <c r="H7" s="3"/>
      <c r="I7" s="3">
        <v>6791.06</v>
      </c>
      <c r="J7" s="3">
        <v>7577.16</v>
      </c>
      <c r="K7" s="3">
        <v>22926.59</v>
      </c>
      <c r="L7" t="s">
        <v>16</v>
      </c>
    </row>
    <row r="8" spans="1:12" x14ac:dyDescent="0.2">
      <c r="A8">
        <v>2025.08</v>
      </c>
      <c r="B8" s="3">
        <v>36210.58</v>
      </c>
      <c r="C8" s="3"/>
      <c r="D8" s="7">
        <v>1960</v>
      </c>
      <c r="E8" s="7">
        <v>1960</v>
      </c>
      <c r="F8" s="3">
        <v>1583.96</v>
      </c>
      <c r="G8" s="3">
        <v>32666.62</v>
      </c>
      <c r="H8" s="3"/>
      <c r="I8" s="3">
        <v>6501.04</v>
      </c>
      <c r="J8" s="3">
        <v>7251.89</v>
      </c>
      <c r="K8" s="3">
        <v>22457.65</v>
      </c>
      <c r="L8" t="s">
        <v>17</v>
      </c>
    </row>
    <row r="9" spans="1:12" x14ac:dyDescent="0.2">
      <c r="A9">
        <v>2025.08</v>
      </c>
      <c r="B9" s="3">
        <v>36210.58</v>
      </c>
      <c r="C9" s="3"/>
      <c r="D9" s="7">
        <v>1960</v>
      </c>
      <c r="E9" s="7">
        <v>1960</v>
      </c>
      <c r="F9" s="3">
        <v>1583.96</v>
      </c>
      <c r="G9" s="3">
        <v>32666.62</v>
      </c>
      <c r="H9" s="3"/>
      <c r="I9" s="3">
        <v>6514.92</v>
      </c>
      <c r="J9" s="3">
        <v>7251.89</v>
      </c>
      <c r="K9" s="3">
        <v>22443.77</v>
      </c>
    </row>
    <row r="10" spans="1:12" x14ac:dyDescent="0.2">
      <c r="A10">
        <v>2025.07</v>
      </c>
      <c r="B10" s="3">
        <v>36210.58</v>
      </c>
      <c r="C10" s="3"/>
      <c r="D10" s="7">
        <v>1960</v>
      </c>
      <c r="E10" s="7">
        <v>1960</v>
      </c>
      <c r="F10" s="3">
        <v>1583.96</v>
      </c>
      <c r="G10" s="3">
        <v>32666.62</v>
      </c>
      <c r="H10" s="3"/>
      <c r="I10" s="3">
        <v>6514.92</v>
      </c>
      <c r="J10" s="3">
        <v>7251.89</v>
      </c>
      <c r="K10" s="3">
        <v>22443.77</v>
      </c>
    </row>
    <row r="11" spans="1:12" x14ac:dyDescent="0.2">
      <c r="A11">
        <v>2025.07</v>
      </c>
      <c r="B11" s="3">
        <v>36210.58</v>
      </c>
      <c r="C11" s="3"/>
      <c r="D11" s="7">
        <v>1960</v>
      </c>
      <c r="E11" s="7">
        <v>1960</v>
      </c>
      <c r="F11" s="3">
        <v>1583.96</v>
      </c>
      <c r="G11" s="3">
        <v>32666.62</v>
      </c>
      <c r="H11" s="3"/>
      <c r="I11" s="3">
        <v>6514.92</v>
      </c>
      <c r="J11" s="3">
        <v>7251.89</v>
      </c>
      <c r="K11" s="3">
        <v>22443.77</v>
      </c>
    </row>
    <row r="12" spans="1:12" x14ac:dyDescent="0.2">
      <c r="A12">
        <v>2025.06</v>
      </c>
      <c r="B12" s="3">
        <v>36210.58</v>
      </c>
      <c r="C12" s="3"/>
      <c r="D12" s="7">
        <v>1960</v>
      </c>
      <c r="E12" s="7">
        <v>1960</v>
      </c>
      <c r="F12" s="3">
        <v>1583.96</v>
      </c>
      <c r="G12" s="3">
        <v>32666.62</v>
      </c>
      <c r="H12" s="3"/>
      <c r="I12" s="3">
        <v>6514.92</v>
      </c>
      <c r="J12" s="3">
        <v>7251.89</v>
      </c>
      <c r="K12" s="3">
        <v>22443.77</v>
      </c>
    </row>
    <row r="13" spans="1:12" x14ac:dyDescent="0.2">
      <c r="A13">
        <v>2025.06</v>
      </c>
      <c r="B13" s="3">
        <v>36210.58</v>
      </c>
      <c r="C13" s="3"/>
      <c r="D13" s="7">
        <v>1960</v>
      </c>
      <c r="E13" s="7">
        <v>1960</v>
      </c>
      <c r="F13" s="3">
        <v>1583.96</v>
      </c>
      <c r="G13" s="3">
        <v>32666.62</v>
      </c>
      <c r="H13" s="3"/>
      <c r="I13" s="3">
        <v>6543.2</v>
      </c>
      <c r="J13" s="3">
        <v>7251.89</v>
      </c>
      <c r="K13" s="3">
        <v>22415.49</v>
      </c>
    </row>
    <row r="14" spans="1:12" x14ac:dyDescent="0.2">
      <c r="A14">
        <v>2025.05</v>
      </c>
      <c r="B14" s="3">
        <v>37977.25</v>
      </c>
      <c r="C14" s="3"/>
      <c r="D14" s="7">
        <v>1680</v>
      </c>
      <c r="E14" s="7">
        <f>+D14</f>
        <v>1680</v>
      </c>
      <c r="F14" s="3">
        <v>1583.96</v>
      </c>
      <c r="G14" s="3">
        <v>34333.29</v>
      </c>
      <c r="H14" s="3"/>
      <c r="I14" s="3">
        <v>6743.2</v>
      </c>
      <c r="J14" s="3">
        <v>7751.89</v>
      </c>
      <c r="K14" s="3">
        <v>23482.16</v>
      </c>
    </row>
    <row r="15" spans="1:12" x14ac:dyDescent="0.2">
      <c r="A15" s="9">
        <v>2025.05</v>
      </c>
      <c r="B15" s="10">
        <v>31263.96</v>
      </c>
      <c r="C15" s="10"/>
      <c r="D15" s="7">
        <v>1680</v>
      </c>
      <c r="E15" s="7">
        <f>+D15</f>
        <v>1680</v>
      </c>
      <c r="F15" s="3">
        <v>1583.96</v>
      </c>
      <c r="G15" s="10">
        <v>28000</v>
      </c>
      <c r="H15" s="10"/>
      <c r="I15" s="10">
        <v>5842.9</v>
      </c>
      <c r="J15" s="10">
        <v>5851.9</v>
      </c>
      <c r="K15" s="10">
        <v>19569.16</v>
      </c>
    </row>
    <row r="16" spans="1:12" x14ac:dyDescent="0.2">
      <c r="A16" s="9">
        <v>2025.05</v>
      </c>
      <c r="B16" s="10">
        <v>31263.96</v>
      </c>
      <c r="C16" s="10"/>
      <c r="D16" s="7">
        <v>1680</v>
      </c>
      <c r="E16" s="7">
        <f>+D16</f>
        <v>1680</v>
      </c>
      <c r="F16" s="3">
        <v>1583.96</v>
      </c>
      <c r="G16" s="10">
        <v>28000</v>
      </c>
      <c r="H16" s="10"/>
      <c r="I16" s="10">
        <v>5842.9</v>
      </c>
      <c r="J16" s="10">
        <v>5851.9</v>
      </c>
      <c r="K16" s="10">
        <v>19569.16</v>
      </c>
    </row>
    <row r="17" spans="1:11" x14ac:dyDescent="0.2">
      <c r="A17" s="9">
        <v>2025.05</v>
      </c>
      <c r="B17" s="10">
        <v>8516.61</v>
      </c>
      <c r="C17" s="10">
        <v>1697.1</v>
      </c>
      <c r="D17" s="10"/>
      <c r="E17" s="10"/>
      <c r="G17" s="10">
        <v>6819.51</v>
      </c>
      <c r="H17" s="10"/>
      <c r="I17" s="10">
        <v>0</v>
      </c>
      <c r="J17" s="10">
        <v>2045.85</v>
      </c>
      <c r="K17" s="10">
        <v>6470.76</v>
      </c>
    </row>
    <row r="18" spans="1:11" x14ac:dyDescent="0.2">
      <c r="A18" s="9">
        <v>2025.05</v>
      </c>
      <c r="B18" s="10">
        <v>32978.25</v>
      </c>
      <c r="C18" s="10"/>
      <c r="D18" s="7">
        <v>1680</v>
      </c>
      <c r="E18" s="7">
        <f>+D18</f>
        <v>1680</v>
      </c>
      <c r="F18" s="3">
        <v>1583.96</v>
      </c>
      <c r="G18" s="10">
        <v>29714.29</v>
      </c>
      <c r="H18" s="10"/>
      <c r="I18" s="10">
        <v>5825.56</v>
      </c>
      <c r="J18" s="10">
        <v>6366.19</v>
      </c>
      <c r="K18" s="10">
        <v>20786.5</v>
      </c>
    </row>
    <row r="19" spans="1:11" x14ac:dyDescent="0.2">
      <c r="A19">
        <v>2025.04</v>
      </c>
      <c r="B19" s="3">
        <v>33135.33</v>
      </c>
      <c r="C19" s="3"/>
      <c r="D19" s="7">
        <v>1680</v>
      </c>
      <c r="E19" s="7">
        <f>+D19</f>
        <v>1680</v>
      </c>
      <c r="F19" s="3">
        <v>1583.96</v>
      </c>
      <c r="G19" s="3">
        <v>29871.37</v>
      </c>
      <c r="H19" s="3"/>
      <c r="I19" s="3">
        <v>5825.56</v>
      </c>
      <c r="J19" s="3">
        <v>6413.31</v>
      </c>
      <c r="K19" s="3">
        <v>20896.46</v>
      </c>
    </row>
    <row r="20" spans="1:11" x14ac:dyDescent="0.2">
      <c r="A20">
        <v>2025.04</v>
      </c>
      <c r="B20" s="3">
        <v>32457.61</v>
      </c>
      <c r="C20" s="3"/>
      <c r="D20" s="7">
        <v>1680</v>
      </c>
      <c r="E20" s="7">
        <f>+D20</f>
        <v>1680</v>
      </c>
      <c r="F20" s="3">
        <v>1583.96</v>
      </c>
      <c r="G20" s="3">
        <v>29193.65</v>
      </c>
      <c r="H20" s="3"/>
      <c r="I20" s="3">
        <v>5825.56</v>
      </c>
      <c r="J20" s="3">
        <v>6210</v>
      </c>
      <c r="K20" s="3">
        <v>20422.05</v>
      </c>
    </row>
    <row r="21" spans="1:11" x14ac:dyDescent="0.2">
      <c r="A21">
        <v>2025.03</v>
      </c>
      <c r="B21" s="3">
        <v>34277.550000000003</v>
      </c>
      <c r="C21" s="3"/>
      <c r="D21" s="7">
        <v>1680</v>
      </c>
      <c r="E21" s="7">
        <f>+D21</f>
        <v>1680</v>
      </c>
      <c r="F21" s="3">
        <v>1583.96</v>
      </c>
      <c r="G21" s="3">
        <v>31013.59</v>
      </c>
      <c r="H21" s="3"/>
      <c r="I21" s="3">
        <v>5825.56</v>
      </c>
      <c r="J21" s="3">
        <v>6755.98</v>
      </c>
      <c r="K21" s="3">
        <v>21696.01</v>
      </c>
    </row>
    <row r="22" spans="1:11" x14ac:dyDescent="0.2">
      <c r="A22">
        <v>2025.03</v>
      </c>
      <c r="B22" s="3">
        <v>31263.96</v>
      </c>
      <c r="C22" s="3"/>
      <c r="D22" s="7">
        <v>1680</v>
      </c>
      <c r="E22" s="7">
        <f>+D22</f>
        <v>1680</v>
      </c>
      <c r="F22" s="3">
        <v>1583.96</v>
      </c>
      <c r="G22" s="3">
        <v>28000</v>
      </c>
      <c r="H22" s="3"/>
      <c r="I22" s="3">
        <v>5825.56</v>
      </c>
      <c r="J22" s="3">
        <v>5851.9</v>
      </c>
      <c r="K22" s="3">
        <v>19586.5</v>
      </c>
    </row>
    <row r="23" spans="1:11" x14ac:dyDescent="0.2">
      <c r="A23">
        <v>2025.02</v>
      </c>
      <c r="B23" s="3">
        <v>31568.81</v>
      </c>
      <c r="C23" s="3"/>
      <c r="D23" s="7">
        <v>1680</v>
      </c>
      <c r="E23" s="7">
        <f>+D23</f>
        <v>1680</v>
      </c>
      <c r="F23" s="3">
        <v>1583.96</v>
      </c>
      <c r="G23" s="3">
        <v>28304.85</v>
      </c>
      <c r="H23" s="3"/>
      <c r="I23" s="3">
        <v>5797.5</v>
      </c>
      <c r="J23" s="3">
        <v>5943.36</v>
      </c>
      <c r="K23" s="3">
        <v>19827.95</v>
      </c>
    </row>
    <row r="24" spans="1:11" x14ac:dyDescent="0.2">
      <c r="A24">
        <v>2025.02</v>
      </c>
      <c r="B24" s="3">
        <v>34769.46</v>
      </c>
      <c r="C24" s="3"/>
      <c r="D24" s="7">
        <v>1680</v>
      </c>
      <c r="E24" s="7">
        <f>+D24</f>
        <v>1680</v>
      </c>
      <c r="F24" s="3">
        <v>1583.96</v>
      </c>
      <c r="G24" s="3">
        <v>31505.5</v>
      </c>
      <c r="H24" s="3"/>
      <c r="I24" s="3">
        <v>5797.5</v>
      </c>
      <c r="J24" s="3">
        <v>6903.55</v>
      </c>
      <c r="K24" s="3">
        <v>22068.41</v>
      </c>
    </row>
    <row r="25" spans="1:11" x14ac:dyDescent="0.2">
      <c r="A25" s="6">
        <v>2025.01</v>
      </c>
      <c r="B25" s="7">
        <v>31199.98</v>
      </c>
      <c r="C25" s="7"/>
      <c r="D25" s="7">
        <v>1680</v>
      </c>
      <c r="E25" s="7">
        <f>+D25</f>
        <v>1680</v>
      </c>
      <c r="F25" s="7">
        <v>1519.9799999999996</v>
      </c>
      <c r="G25" s="7">
        <v>28000</v>
      </c>
      <c r="H25" s="7">
        <v>854.31</v>
      </c>
      <c r="I25" s="7">
        <v>5734.29</v>
      </c>
      <c r="J25" s="7">
        <v>5851.9</v>
      </c>
      <c r="K25" s="7">
        <v>19613.79</v>
      </c>
    </row>
    <row r="26" spans="1:11" x14ac:dyDescent="0.2">
      <c r="A26" s="6">
        <v>2025.01</v>
      </c>
      <c r="B26" s="7">
        <v>37200.53</v>
      </c>
      <c r="C26" s="7">
        <v>1628.55</v>
      </c>
      <c r="D26" s="7">
        <v>1680</v>
      </c>
      <c r="E26" s="7">
        <f>+D26</f>
        <v>1680</v>
      </c>
      <c r="F26" s="7">
        <f>4828.53-C26-D26</f>
        <v>1519.9799999999996</v>
      </c>
      <c r="G26" s="7">
        <v>32372</v>
      </c>
      <c r="H26" s="7">
        <v>854.31</v>
      </c>
      <c r="I26" s="7">
        <v>5734.29</v>
      </c>
      <c r="J26" s="7">
        <v>7163.5</v>
      </c>
      <c r="K26" s="7">
        <v>24302.74</v>
      </c>
    </row>
    <row r="27" spans="1:11" ht="18" x14ac:dyDescent="0.2">
      <c r="B27" s="5">
        <f>SUM(B2:B26)</f>
        <v>1005974.8599999999</v>
      </c>
      <c r="C27" s="5">
        <f>SUM(C2:C26)</f>
        <v>21367.19</v>
      </c>
      <c r="D27" s="5">
        <f>SUM(D2:D26)</f>
        <v>40180</v>
      </c>
      <c r="E27" s="5">
        <f t="shared" ref="D27:E27" si="0">SUM(E2:E26)</f>
        <v>40180</v>
      </c>
      <c r="F27" s="5">
        <f>SUM(F2:F26)</f>
        <v>35058.579999999987</v>
      </c>
      <c r="G27" s="5">
        <f t="shared" ref="G27:K27" si="1">SUM(G2:G26)</f>
        <v>921939.33000000007</v>
      </c>
      <c r="H27" s="5"/>
      <c r="I27" s="5">
        <f t="shared" si="1"/>
        <v>137163.53999999998</v>
      </c>
      <c r="J27" s="5">
        <f>SUM(J2:J26)</f>
        <v>222464.17</v>
      </c>
      <c r="K27" s="5">
        <f t="shared" si="1"/>
        <v>646347.15</v>
      </c>
    </row>
    <row r="28" spans="1:11" x14ac:dyDescent="0.2">
      <c r="B28" s="2"/>
      <c r="C28" s="2"/>
      <c r="E28" s="4">
        <f>+E27+D27</f>
        <v>80360</v>
      </c>
      <c r="F28" t="s">
        <v>11</v>
      </c>
      <c r="G28" t="s">
        <v>6</v>
      </c>
      <c r="I28" t="s">
        <v>9</v>
      </c>
      <c r="J28" t="s">
        <v>7</v>
      </c>
      <c r="K28" t="s">
        <v>8</v>
      </c>
    </row>
    <row r="30" spans="1:11" x14ac:dyDescent="0.2">
      <c r="D30" s="8">
        <v>35059</v>
      </c>
    </row>
    <row r="31" spans="1:11" x14ac:dyDescent="0.2">
      <c r="D31" s="4">
        <f>+D30-D27</f>
        <v>-5121</v>
      </c>
      <c r="E31" s="4">
        <f>40560-F27</f>
        <v>5501.4200000000128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Alejandro Melendez Arias</dc:creator>
  <cp:lastModifiedBy>Jorge Alejandro Melendez Arias</cp:lastModifiedBy>
  <dcterms:created xsi:type="dcterms:W3CDTF">2026-04-20T01:54:53Z</dcterms:created>
  <dcterms:modified xsi:type="dcterms:W3CDTF">2026-04-20T03:33:34Z</dcterms:modified>
</cp:coreProperties>
</file>